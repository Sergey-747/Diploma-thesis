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Дипломная работа\"/>
    </mc:Choice>
  </mc:AlternateContent>
  <xr:revisionPtr revIDLastSave="0" documentId="8_{4BF98C1A-D11F-4AFB-884C-964AA0749FE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ject_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15" i="1"/>
  <c r="C18" i="1"/>
  <c r="C26" i="1"/>
  <c r="C31" i="1"/>
  <c r="C34" i="1"/>
  <c r="C37" i="1"/>
  <c r="C44" i="1"/>
  <c r="C48" i="1"/>
  <c r="C53" i="1"/>
  <c r="C56" i="1"/>
  <c r="C59" i="1"/>
  <c r="C63" i="1"/>
  <c r="C67" i="1"/>
  <c r="C70" i="1"/>
  <c r="C73" i="1"/>
  <c r="C76" i="1"/>
  <c r="C79" i="1"/>
  <c r="C85" i="1"/>
</calcChain>
</file>

<file path=xl/sharedStrings.xml><?xml version="1.0" encoding="utf-8"?>
<sst xmlns="http://schemas.openxmlformats.org/spreadsheetml/2006/main" count="1460" uniqueCount="145">
  <si>
    <t>ID</t>
  </si>
  <si>
    <t>Расположение</t>
  </si>
  <si>
    <t>Наименование</t>
  </si>
  <si>
    <t>Автоматизирован</t>
  </si>
  <si>
    <t>Предусловия</t>
  </si>
  <si>
    <t>Шаги</t>
  </si>
  <si>
    <t>Постусловия</t>
  </si>
  <si>
    <t>Ожидаемый результат</t>
  </si>
  <si>
    <t>Тестовые данные</t>
  </si>
  <si>
    <t>Комментарии</t>
  </si>
  <si>
    <t>Итерации</t>
  </si>
  <si>
    <t>Приоритет</t>
  </si>
  <si>
    <t>Статус</t>
  </si>
  <si>
    <t>Дата создания</t>
  </si>
  <si>
    <t>Автор</t>
  </si>
  <si>
    <t>Длительность</t>
  </si>
  <si>
    <t>Тег</t>
  </si>
  <si>
    <t>168</t>
  </si>
  <si>
    <t>Test -&gt; Кинопоиск(фильмы)</t>
  </si>
  <si>
    <t>Нет</t>
  </si>
  <si>
    <t/>
  </si>
  <si>
    <t>Средний</t>
  </si>
  <si>
    <t>9/18/2026 10:27:38</t>
  </si>
  <si>
    <t>Сергей</t>
  </si>
  <si>
    <t>0h 10m 0s</t>
  </si>
  <si>
    <t>chek list</t>
  </si>
  <si>
    <t>Открыть страницу https://www.kinopoisk.ru/ в Яндекс Браузере.</t>
  </si>
  <si>
    <t>Пройти аутентификацию на сайте.</t>
  </si>
  <si>
    <t>Проверить воспроизведение видео (Плеер): Видеопоток в онлайн-кинотеатре должен адаптируется под скорость интернета (автоматическое изменение качества 4K/1080p/720p), видеопоток идет без заиканий и долгих буферизаций.</t>
  </si>
  <si>
    <t>Проверить потребление ресурсов персонального компьютера: открытая вкладка сайта в браузере не перегружает оперативную память и процессор  устройства. В покое (статичная страница): вкладка не должна потреблять более 300–400 МБ. При просмотре видео (в плеере): вкладка стабильно держит в памяти не должна превышать более 1–1.5 ГБ.</t>
  </si>
  <si>
    <t>Проверить навигацию по сайту.  Логика перемещения по сайту должна быть интуитивно понятна. Одним кликом (нажатием на логотип) может вернуться на главную страницу в один клик (нажатием на кнопку ГЛАВНАЯ в выпадающем меню).</t>
  </si>
  <si>
    <t>Проверить поиск: поисковая строка находится на самом видном месте и поддерживает автозаполнение (подсказки при вводе названия фильма или имени актера).</t>
  </si>
  <si>
    <t>Проверить читаемость: шрифты, контрастность текста и подложки подобраны так, чтобы текст легко читался) .</t>
  </si>
  <si>
    <t>Проверить информативность ошибок: При возникновении сбоев (например, страница 404) пользователю выводится понятное сообщение и предлагаются варианты действий (например: “404. Страница не найдена”, “Возможно, она была перемещена, или вы просто неверно указали адрес страницы”, “Перейти на главную”, “Написать в поддержку”), а не технический код ошибки.</t>
  </si>
  <si>
    <t>Проверить возможность управление с клавиатуры: по сайту можно полноценно перемещаться с помощью клавиши Tab и осуществлять выбор кнопкой Enter.</t>
  </si>
  <si>
    <t>Проверить наличие субтитров: все видеоматериалы (трейлеры, фильмы) в плеере имеют поддержку субтитров для слабослышащих.</t>
  </si>
  <si>
    <t>Проверить возможность сохранения данных: при внезапном обрыве интернет-соединения во время просмотра фильма, плеер запоминает таймкод остановки и возобновляет просмотр с того же места после восстановления сети.</t>
  </si>
  <si>
    <t>Проверить корректность отображения сайта в популярных браузерах(Google Chrome, Microsoft Edge, Opera, Mozilla Firefox, Brave).</t>
  </si>
  <si>
    <t>169</t>
  </si>
  <si>
    <t>Высокий</t>
  </si>
  <si>
    <t>9/18/2026 11:05:56</t>
  </si>
  <si>
    <t>functional</t>
  </si>
  <si>
    <t>Открыть страницу сайта по ссылке https://www.kinopoisk.ru/</t>
  </si>
  <si>
    <t>Открылась страница сайта.</t>
  </si>
  <si>
    <t>Ввести в поисковую строку «Интерстеллар» и нажать Enter.</t>
  </si>
  <si>
    <t>Отображается страница результатов поиска, где на первом месте находится карточка правильного фильма.</t>
  </si>
  <si>
    <t>170</t>
  </si>
  <si>
    <t>9/18/2026 11:39:18</t>
  </si>
  <si>
    <t>Открыть странницу сайта по ссылке https://www.kinopoisk.ru/</t>
  </si>
  <si>
    <t>На странице выбрать вкладку ФИЛЬМЫ</t>
  </si>
  <si>
    <t>Открылась страница с функционалом для выбора фильма</t>
  </si>
  <si>
    <t>Из списка нажать на ссылку  “250 лучших фильмов”</t>
  </si>
  <si>
    <t>Открылась страница сайта, в заголовке надпись “250 лучших фильмов”</t>
  </si>
  <si>
    <t>С лева на странице из выпадающего списка выбрать Страну, нажать на надпись “Россия”</t>
  </si>
  <si>
    <t>В поле СТРАНЫ, появилась надпись “Россия”, на странице отобразились все фильмы производства России</t>
  </si>
  <si>
    <t>С лева на странице из выпадающего списка выбрать Жанры, нажать на надпись “Боевики”</t>
  </si>
  <si>
    <t>В поле ЖАНРЫ, появилась надпись “Боевики”,  на странице отобразились все фильмы в жанре “Боевики“</t>
  </si>
  <si>
    <t>С лева на странице из выпадающего списка выбрать Годы, нажать на надпись “1990-1999”</t>
  </si>
  <si>
    <t>В поле ГОДЫ, появилась надпись “1990-1999”, на странице отобразились информация “Ничего не найдено
Попробуйте изменить параметры фильтра”</t>
  </si>
  <si>
    <t>171</t>
  </si>
  <si>
    <t>9/18/2026 11:56:47</t>
  </si>
  <si>
    <t>В строке поиска ввести:  «Леонардо ДиКаприо».”</t>
  </si>
  <si>
    <t>Открылся категоризированный поисковый саджест, с группами: Возможно, вы искали, Фильмы и сериалы, Персоны.</t>
  </si>
  <si>
    <t>Нажать на ссылку «Леонардо ДиКаприо».”</t>
  </si>
  <si>
    <t>Отображается фотография, О персоне: Карьера, Рост, Дата рождения, Место рождения, Жанры, Всего фильмов.</t>
  </si>
  <si>
    <t>Нажать на фотографию актера.</t>
  </si>
  <si>
    <t>Открылся альбом с фотографиями актера.</t>
  </si>
  <si>
    <t>172</t>
  </si>
  <si>
    <t>Низкий</t>
  </si>
  <si>
    <t>9/18/2026 13:08:34</t>
  </si>
  <si>
    <t>В поисковую строку ввести «Bynthcntkkfh» (слово «Интерстеллар» на английской раскладке).</t>
  </si>
  <si>
    <t>Система автоматически исправляет раскладку клавиатуры или предлагает блок «Возможно, вы имели в виду: Интерстеллар».</t>
  </si>
  <si>
    <t>173</t>
  </si>
  <si>
    <t>Самый высокий</t>
  </si>
  <si>
    <t>9/18/2026 13:14:57</t>
  </si>
  <si>
    <t>Нажать кнопку «Войти», ввести валидный логин и пароль от аккаунта Яндекс.</t>
  </si>
  <si>
    <t>Пользователь успешно авторизован, в правом верхнем углу отображается аватар профиля.</t>
  </si>
  <si>
    <t>217</t>
  </si>
  <si>
    <t>9/30/2026 07:52:12</t>
  </si>
  <si>
    <t>Открылась страница сайта Кинопоиск.</t>
  </si>
  <si>
    <t>В списке слева клацнуть на МЕДИА</t>
  </si>
  <si>
    <t>Открылась страница МЕДИА (Новости / Статьи):</t>
  </si>
  <si>
    <t>Клацнуть на НОВОСТИ</t>
  </si>
  <si>
    <t>Отображается плиточная  структура статей, отображаются даты публикации, количество просмотров и комментариев.</t>
  </si>
  <si>
    <t>Клацнуть ТЕСТЫ</t>
  </si>
  <si>
    <t>Отображается плиточная  структура тестов, даты публикации, количество просмотров и комментариев</t>
  </si>
  <si>
    <t>Клацнуть на выбранном тесте</t>
  </si>
  <si>
    <t>Открылась страница с общим описанием фильма и первым вопросом.</t>
  </si>
  <si>
    <t>Ответить на вопрос, клацнув на один из предложенных вариантов.</t>
  </si>
  <si>
    <t>Если вариант верный, вопрос подсвечивается зеленым цветов и написан развернутый ответ. Если ответ не верный он подсвечивается красным цветом, ниже написан верный вариант с пояснением.</t>
  </si>
  <si>
    <t>215</t>
  </si>
  <si>
    <t>9/26/2026 15:53:12</t>
  </si>
  <si>
    <t>Находясь под авторизованным аккаунтом, открыть карточку любого фильма и нажать кнопку «Буду смотреть».</t>
  </si>
  <si>
    <t>Кнопка меняет состояние на «В списке», фильм корректно сохраняется и отображается в личной папке профиля.</t>
  </si>
  <si>
    <t>216</t>
  </si>
  <si>
    <t>9/26/2026 15:57:05</t>
  </si>
  <si>
    <t>Открыть карточку фильма, доступного по подписке Яндекс, и нажать кнопку «Смотреть».</t>
  </si>
  <si>
    <t>Открывается медиаплеер, начинается плавное воспроизведение видео со звуком.</t>
  </si>
  <si>
    <t>206</t>
  </si>
  <si>
    <t>9/23/2026 02:54:41</t>
  </si>
  <si>
    <t>В Postman настроена авторизация по ключу X-API-KEY. В переменных указан URL адрес сайта.</t>
  </si>
  <si>
    <t>Отправить запрос на получение медиа-новости: https://kinopoiskapiunofficial.tech/api/v1/media_posts</t>
  </si>
  <si>
    <t>Статус код ответа: 200 OK
Получили json ответ вида:  "total": 3730,     "totalPages": 187,     "items":{словарь с новостями}</t>
  </si>
  <si>
    <t>214</t>
  </si>
  <si>
    <t>9/23/2026 11:05:34</t>
  </si>
  <si>
    <t>Отправить запрос: {{BaseURL}}/api/v2.2/films/{{savedKinopoiskId}}</t>
  </si>
  <si>
    <t>Статус-код ответа равен 200.
json содержит данные о найденном фильме.</t>
  </si>
  <si>
    <t>207</t>
  </si>
  <si>
    <t>9/23/2026 03:19:39</t>
  </si>
  <si>
    <t>Добавить скрипт: const responseData = pm.response.json();
const firstFilmId = responseData.items[5].kinopoiskId;
pm.collectionVariables.set("savedKinopoiskId", firstFilmId);
Отправить запрос : https://kinopoiskapiunofficial.tech/api/v2.2/films?page=1&amp;order=NUM_VOTE&amp;type=FILM&amp;yearFrom=2026</t>
  </si>
  <si>
    <t>Статус-код ответа равен 200.
Ответ содержить "total": 100,
    "totalPages": 5,
    "items": [{список словарей}}</t>
  </si>
  <si>
    <t>208</t>
  </si>
  <si>
    <t>9/23/2026 05:08:00</t>
  </si>
  <si>
    <t>Отправить запрос : https://kinopoiskapiunofficial.tech/api/v2.2/films/{{savedKinopoiskId}}/box_office</t>
  </si>
  <si>
    <t>Статус-код ответа равен 200.
Ответ содержит json: {
    "total": 3,
    "items": [
        {
            "type": "USA",
            "amount": 344050007,
            "currencyCode": "USD",
            "name": "US Dollar",
            "symbol": "$"
        },
        {
            "type": "BUDGET",
            "amount": 200000000,
            "currencyCode": "USD",
            "name": "US Dollar",
            "symbol": "$"
        },
        {
            "type": "WORLD",
            "amount": 685296438,
            "currencyCode": "USD",
            "name": "US Dollar",
            "symbol": "$"
        }
    ]
}</t>
  </si>
  <si>
    <t>209</t>
  </si>
  <si>
    <t>9/23/2026 09:24:32</t>
  </si>
  <si>
    <t>Отправить запрос: https://kinopoiskapiunofficial.tech/api/v2.2/films/{{savedKinopoiskId}}/awards</t>
  </si>
  <si>
    <t>Статус-код ответа равен 200.
json: {
    "total": 0,
    "items": []
}</t>
  </si>
  <si>
    <t>210</t>
  </si>
  <si>
    <t>Готов</t>
  </si>
  <si>
    <t>9/23/2026 09:55:39</t>
  </si>
  <si>
    <t>Отправить запрос https://kinopoiskapiunofficial.tech/api/v2.2/films/collections?type=LOVE_THEME&amp;page=1</t>
  </si>
  <si>
    <t>Статус-код ответа равен 200.
json: "total": 70,    "totalPages": 4,
    "items": [{"kinopoiskId": 381,
            "imdbId": "tt0118799",
            "nameRu": "Жизнь прекрасна",
            "nameEn": null,
            "nameOriginal": "La vita è bella",
            "countries": [{ "country": "Италия" }],
            "genres": [{"genre": "драма"},
                {"genre": "мелодрама"},
                {"genre": "комедия"},
                { "genre": "военный"}],
            "ratingKinopoisk": 8.6,
            "ratingImdb": 8.6,
            "year": 1997,
            "type": "FILM",}]</t>
  </si>
  <si>
    <t>211</t>
  </si>
  <si>
    <t>9/23/2026 10:07:01</t>
  </si>
  <si>
    <t>Профиль отображается на сайте.</t>
  </si>
  <si>
    <t>Отправить запрос: https://kinopoiskapiunofficial.tech/api/v2.2/films?page=1
/api/v2.2/films/collections?type=LOVES_THEME&amp;page=1</t>
  </si>
  <si>
    <t>"message": "Method parameter 'type': Failed to convert value of type 'java.lang.String' to required type 'com.github.truedevprofile.common.repository.jdbc.repository.model.collection.CollectionType'; Failed to convert from type [java.lang.String] to type [@org.springframework.web.bind.annotation.RequestParam com.github.truedevprofile.common.repository.jdbc.repository.model.collection.CollectionType] for value [LOVES_THEME]"</t>
  </si>
  <si>
    <t>212</t>
  </si>
  <si>
    <t>9/23/2026 10:14:12</t>
  </si>
  <si>
    <t>Отправить запрос: https://kinopoiskapiunofficial.tech/api/v2.2/films/8767773</t>
  </si>
  <si>
    <t>404 Not Found. "Статус код 404. Фильма нет в базе или неверный формат ID"</t>
  </si>
  <si>
    <t>218</t>
  </si>
  <si>
    <t>9/30/2026 08:08:35</t>
  </si>
  <si>
    <t>Нажать кнопку Play или Space.</t>
  </si>
  <si>
    <t>Началось воспроизведение фильма.</t>
  </si>
  <si>
    <t>Нажать кнопку PAUSE или Space.</t>
  </si>
  <si>
    <t>Воспроизведение фильма остановлено. На экране лицо актера обведено белой рамкой, с права надпись: Актёры в кадре, в поле ниже указаны: фамилия актёра и роль персонажа которую он играет.</t>
  </si>
  <si>
    <t>Навести курсор на поле и нажать правую клавишу мыши.</t>
  </si>
  <si>
    <t>Рамка окаймляющее лицо актера стала красной, слева окна экрана появилась детальная информация о фильмах где снимался актёр.
Информация о фильмах где снимался актёр исчезла.</t>
  </si>
  <si>
    <t>219</t>
  </si>
  <si>
    <t>9/30/2026 09:38:39</t>
  </si>
  <si>
    <t>"Добавить скрипт: pm.test("Статус-код ответа равен 200", function () {
    pm.response.to.have.status(200);
});
Отправить запрос : https://kinopoiskapiunofficial.tech/api/v1/staff/66539</t>
  </si>
  <si>
    <t>"Статус-код ответа равен 200.
Ответ содержит: {
    "personId": 66539,
    "webUrl": "https://www.kinopoisk.ru/name/66539/",
    "nameRu": "Винс Гиллиган",
    "nameEn": "Vince Gilligan",
    "sex": "MALE"……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</si>
</sst>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0" fillId="0" borderId="0" xfId="0" applyNumberFormat="1" applyFill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87" totalsRowShown="0">
  <autoFilter ref="A1:Q87" xr:uid="{00000000-0009-0000-0100-000001000000}"/>
  <tableColumns count="17">
    <tableColumn id="1" xr3:uid="{00000000-0010-0000-0000-000001000000}" name="ID"/>
    <tableColumn id="2" xr3:uid="{00000000-0010-0000-0000-000002000000}" name="Расположение"/>
    <tableColumn id="3" xr3:uid="{00000000-0010-0000-0000-000003000000}" name="Наименование"/>
    <tableColumn id="4" xr3:uid="{00000000-0010-0000-0000-000004000000}" name="Автоматизирован"/>
    <tableColumn id="5" xr3:uid="{00000000-0010-0000-0000-000005000000}" name="Предусловия"/>
    <tableColumn id="6" xr3:uid="{00000000-0010-0000-0000-000006000000}" name="Шаги"/>
    <tableColumn id="7" xr3:uid="{00000000-0010-0000-0000-000007000000}" name="Постусловия"/>
    <tableColumn id="8" xr3:uid="{00000000-0010-0000-0000-000008000000}" name="Ожидаемый результат"/>
    <tableColumn id="9" xr3:uid="{00000000-0010-0000-0000-000009000000}" name="Тестовые данные"/>
    <tableColumn id="10" xr3:uid="{00000000-0010-0000-0000-00000A000000}" name="Комментарии"/>
    <tableColumn id="11" xr3:uid="{00000000-0010-0000-0000-00000B000000}" name="Итерации"/>
    <tableColumn id="12" xr3:uid="{00000000-0010-0000-0000-00000C000000}" name="Приоритет"/>
    <tableColumn id="13" xr3:uid="{00000000-0010-0000-0000-00000D000000}" name="Статус"/>
    <tableColumn id="14" xr3:uid="{00000000-0010-0000-0000-00000E000000}" name="Дата создания"/>
    <tableColumn id="15" xr3:uid="{00000000-0010-0000-0000-00000F000000}" name="Автор"/>
    <tableColumn id="16" xr3:uid="{00000000-0010-0000-0000-000010000000}" name="Длительность"/>
    <tableColumn id="17" xr3:uid="{00000000-0010-0000-0000-000011000000}" name="Те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"/>
  <sheetViews>
    <sheetView tabSelected="1" topLeftCell="F49" workbookViewId="0"/>
  </sheetViews>
  <sheetFormatPr defaultColWidth="9.109375" defaultRowHeight="14.4" x14ac:dyDescent="0.3"/>
  <cols>
    <col min="1" max="1" width="10.6640625" style="1" customWidth="1"/>
    <col min="2" max="2" width="26.44140625" style="2" customWidth="1"/>
    <col min="3" max="3" width="50.6640625" style="2" customWidth="1"/>
    <col min="4" max="4" width="20.109375" style="1" customWidth="1"/>
    <col min="5" max="6" width="50.6640625" style="1" customWidth="1"/>
    <col min="7" max="7" width="15.109375" style="1" customWidth="1"/>
    <col min="8" max="8" width="50.6640625" style="1" customWidth="1"/>
    <col min="9" max="9" width="19.6640625" style="1" customWidth="1"/>
    <col min="10" max="10" width="16.44140625" style="1" customWidth="1"/>
    <col min="11" max="11" width="12.33203125" style="1" customWidth="1"/>
    <col min="12" max="12" width="15.88671875" style="1" customWidth="1"/>
    <col min="13" max="13" width="10.6640625" style="1" customWidth="1"/>
    <col min="14" max="14" width="18.109375" style="1" customWidth="1"/>
    <col min="15" max="15" width="10.6640625" style="1" customWidth="1"/>
    <col min="16" max="16" width="16.109375" style="1" customWidth="1"/>
    <col min="17" max="17" width="10.6640625" style="1" customWidth="1"/>
    <col min="18" max="18" width="9.109375" style="1" customWidth="1"/>
    <col min="19" max="16384" width="9.109375" style="1"/>
  </cols>
  <sheetData>
    <row r="1" spans="1:17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17</v>
      </c>
      <c r="B2" s="2" t="s">
        <v>18</v>
      </c>
      <c r="C2" s="2" t="str">
        <f>HYPERLINK("https://team-xujm.testit.software/projects/1/tests/168", "Нефункциональный чек-лист")</f>
        <v>Нефункциональный чек-лист</v>
      </c>
      <c r="D2" s="1" t="s">
        <v>19</v>
      </c>
      <c r="E2" s="1" t="s">
        <v>20</v>
      </c>
      <c r="F2" s="1" t="s">
        <v>20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 t="s">
        <v>21</v>
      </c>
      <c r="M2" s="1" t="s">
        <v>120</v>
      </c>
      <c r="N2" s="1" t="s">
        <v>22</v>
      </c>
      <c r="O2" s="1" t="s">
        <v>23</v>
      </c>
      <c r="P2" s="1" t="s">
        <v>24</v>
      </c>
      <c r="Q2" s="1" t="s">
        <v>25</v>
      </c>
    </row>
    <row r="3" spans="1:17" x14ac:dyDescent="0.3">
      <c r="A3" s="1" t="s">
        <v>20</v>
      </c>
      <c r="B3" s="2" t="s">
        <v>20</v>
      </c>
      <c r="C3" s="2" t="s">
        <v>20</v>
      </c>
      <c r="D3" s="1" t="s">
        <v>20</v>
      </c>
      <c r="E3" s="1" t="s">
        <v>20</v>
      </c>
      <c r="F3" s="1" t="s">
        <v>26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20</v>
      </c>
      <c r="Q3" s="1" t="s">
        <v>20</v>
      </c>
    </row>
    <row r="4" spans="1:17" x14ac:dyDescent="0.3">
      <c r="A4" s="1" t="s">
        <v>20</v>
      </c>
      <c r="B4" s="2" t="s">
        <v>20</v>
      </c>
      <c r="C4" s="2" t="s">
        <v>20</v>
      </c>
      <c r="D4" s="1" t="s">
        <v>20</v>
      </c>
      <c r="E4" s="1" t="s">
        <v>20</v>
      </c>
      <c r="F4" s="1" t="s">
        <v>27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20</v>
      </c>
    </row>
    <row r="5" spans="1:17" x14ac:dyDescent="0.3">
      <c r="A5" s="1" t="s">
        <v>20</v>
      </c>
      <c r="B5" s="2" t="s">
        <v>20</v>
      </c>
      <c r="C5" s="2" t="s">
        <v>20</v>
      </c>
      <c r="D5" s="1" t="s">
        <v>20</v>
      </c>
      <c r="E5" s="1" t="s">
        <v>20</v>
      </c>
      <c r="F5" s="1" t="s">
        <v>28</v>
      </c>
      <c r="G5" s="1" t="s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  <c r="P5" s="1" t="s">
        <v>20</v>
      </c>
      <c r="Q5" s="1" t="s">
        <v>20</v>
      </c>
    </row>
    <row r="6" spans="1:17" x14ac:dyDescent="0.3">
      <c r="A6" s="1" t="s">
        <v>20</v>
      </c>
      <c r="B6" s="2" t="s">
        <v>20</v>
      </c>
      <c r="C6" s="2" t="s">
        <v>20</v>
      </c>
      <c r="D6" s="1" t="s">
        <v>20</v>
      </c>
      <c r="E6" s="1" t="s">
        <v>20</v>
      </c>
      <c r="F6" s="1" t="s">
        <v>29</v>
      </c>
      <c r="G6" s="1" t="s">
        <v>20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20</v>
      </c>
      <c r="O6" s="1" t="s">
        <v>20</v>
      </c>
      <c r="P6" s="1" t="s">
        <v>20</v>
      </c>
      <c r="Q6" s="1" t="s">
        <v>20</v>
      </c>
    </row>
    <row r="7" spans="1:17" x14ac:dyDescent="0.3">
      <c r="A7" s="1" t="s">
        <v>20</v>
      </c>
      <c r="B7" s="2" t="s">
        <v>20</v>
      </c>
      <c r="C7" s="2" t="s">
        <v>20</v>
      </c>
      <c r="D7" s="1" t="s">
        <v>20</v>
      </c>
      <c r="E7" s="1" t="s">
        <v>20</v>
      </c>
      <c r="F7" s="1" t="s">
        <v>30</v>
      </c>
      <c r="G7" s="1" t="s">
        <v>20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20</v>
      </c>
      <c r="Q7" s="1" t="s">
        <v>20</v>
      </c>
    </row>
    <row r="8" spans="1:17" x14ac:dyDescent="0.3">
      <c r="A8" s="1" t="s">
        <v>20</v>
      </c>
      <c r="B8" s="2" t="s">
        <v>20</v>
      </c>
      <c r="C8" s="2" t="s">
        <v>20</v>
      </c>
      <c r="D8" s="1" t="s">
        <v>20</v>
      </c>
      <c r="E8" s="1" t="s">
        <v>20</v>
      </c>
      <c r="F8" s="1" t="s">
        <v>31</v>
      </c>
      <c r="G8" s="1" t="s">
        <v>20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20</v>
      </c>
      <c r="O8" s="1" t="s">
        <v>20</v>
      </c>
      <c r="P8" s="1" t="s">
        <v>20</v>
      </c>
      <c r="Q8" s="1" t="s">
        <v>20</v>
      </c>
    </row>
    <row r="9" spans="1:17" x14ac:dyDescent="0.3">
      <c r="A9" s="1" t="s">
        <v>20</v>
      </c>
      <c r="B9" s="2" t="s">
        <v>20</v>
      </c>
      <c r="C9" s="2" t="s">
        <v>20</v>
      </c>
      <c r="D9" s="1" t="s">
        <v>20</v>
      </c>
      <c r="E9" s="1" t="s">
        <v>20</v>
      </c>
      <c r="F9" s="1" t="s">
        <v>32</v>
      </c>
      <c r="G9" s="1" t="s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  <c r="P9" s="1" t="s">
        <v>20</v>
      </c>
      <c r="Q9" s="1" t="s">
        <v>20</v>
      </c>
    </row>
    <row r="10" spans="1:17" x14ac:dyDescent="0.3">
      <c r="A10" s="1" t="s">
        <v>20</v>
      </c>
      <c r="B10" s="2" t="s">
        <v>20</v>
      </c>
      <c r="C10" s="2" t="s">
        <v>20</v>
      </c>
      <c r="D10" s="1" t="s">
        <v>20</v>
      </c>
      <c r="E10" s="1" t="s">
        <v>20</v>
      </c>
      <c r="F10" s="1" t="s">
        <v>33</v>
      </c>
      <c r="G10" s="1" t="s">
        <v>20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20</v>
      </c>
      <c r="O10" s="1" t="s">
        <v>20</v>
      </c>
      <c r="P10" s="1" t="s">
        <v>20</v>
      </c>
      <c r="Q10" s="1" t="s">
        <v>20</v>
      </c>
    </row>
    <row r="11" spans="1:17" x14ac:dyDescent="0.3">
      <c r="A11" s="1" t="s">
        <v>20</v>
      </c>
      <c r="B11" s="2" t="s">
        <v>20</v>
      </c>
      <c r="C11" s="2" t="s">
        <v>20</v>
      </c>
      <c r="D11" s="1" t="s">
        <v>20</v>
      </c>
      <c r="E11" s="1" t="s">
        <v>20</v>
      </c>
      <c r="F11" s="1" t="s">
        <v>34</v>
      </c>
      <c r="G11" s="1" t="s">
        <v>20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20</v>
      </c>
      <c r="O11" s="1" t="s">
        <v>20</v>
      </c>
      <c r="P11" s="1" t="s">
        <v>20</v>
      </c>
      <c r="Q11" s="1" t="s">
        <v>20</v>
      </c>
    </row>
    <row r="12" spans="1:17" x14ac:dyDescent="0.3">
      <c r="A12" s="1" t="s">
        <v>20</v>
      </c>
      <c r="B12" s="2" t="s">
        <v>20</v>
      </c>
      <c r="C12" s="2" t="s">
        <v>20</v>
      </c>
      <c r="D12" s="1" t="s">
        <v>20</v>
      </c>
      <c r="E12" s="1" t="s">
        <v>20</v>
      </c>
      <c r="F12" s="1" t="s">
        <v>35</v>
      </c>
      <c r="G12" s="1" t="s">
        <v>20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20</v>
      </c>
      <c r="O12" s="1" t="s">
        <v>20</v>
      </c>
      <c r="P12" s="1" t="s">
        <v>20</v>
      </c>
      <c r="Q12" s="1" t="s">
        <v>20</v>
      </c>
    </row>
    <row r="13" spans="1:17" x14ac:dyDescent="0.3">
      <c r="A13" s="1" t="s">
        <v>20</v>
      </c>
      <c r="B13" s="2" t="s">
        <v>20</v>
      </c>
      <c r="C13" s="2" t="s">
        <v>20</v>
      </c>
      <c r="D13" s="1" t="s">
        <v>20</v>
      </c>
      <c r="E13" s="1" t="s">
        <v>20</v>
      </c>
      <c r="F13" s="1" t="s">
        <v>36</v>
      </c>
      <c r="G13" s="1" t="s">
        <v>20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20</v>
      </c>
      <c r="O13" s="1" t="s">
        <v>20</v>
      </c>
      <c r="P13" s="1" t="s">
        <v>20</v>
      </c>
      <c r="Q13" s="1" t="s">
        <v>20</v>
      </c>
    </row>
    <row r="14" spans="1:17" x14ac:dyDescent="0.3">
      <c r="A14" s="1" t="s">
        <v>20</v>
      </c>
      <c r="B14" s="2" t="s">
        <v>20</v>
      </c>
      <c r="C14" s="2" t="s">
        <v>20</v>
      </c>
      <c r="D14" s="1" t="s">
        <v>20</v>
      </c>
      <c r="E14" s="1" t="s">
        <v>20</v>
      </c>
      <c r="F14" s="1" t="s">
        <v>37</v>
      </c>
      <c r="G14" s="1" t="s">
        <v>20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20</v>
      </c>
      <c r="O14" s="1" t="s">
        <v>20</v>
      </c>
      <c r="P14" s="1" t="s">
        <v>20</v>
      </c>
      <c r="Q14" s="1" t="s">
        <v>20</v>
      </c>
    </row>
    <row r="15" spans="1:17" x14ac:dyDescent="0.3">
      <c r="A15" s="1" t="s">
        <v>38</v>
      </c>
      <c r="B15" s="2" t="s">
        <v>18</v>
      </c>
      <c r="C15" s="2" t="str">
        <f>HYPERLINK("https://team-xujm.testit.software/projects/1/tests/169", "Поиск фильма по названию.")</f>
        <v>Поиск фильма по названию.</v>
      </c>
      <c r="D15" s="1" t="s">
        <v>19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39</v>
      </c>
      <c r="M15" s="1" t="s">
        <v>120</v>
      </c>
      <c r="N15" s="1" t="s">
        <v>40</v>
      </c>
      <c r="O15" s="1" t="s">
        <v>23</v>
      </c>
      <c r="P15" s="1" t="s">
        <v>24</v>
      </c>
      <c r="Q15" s="1" t="s">
        <v>41</v>
      </c>
    </row>
    <row r="16" spans="1:17" x14ac:dyDescent="0.3">
      <c r="A16" s="1" t="s">
        <v>20</v>
      </c>
      <c r="B16" s="2" t="s">
        <v>20</v>
      </c>
      <c r="C16" s="2" t="s">
        <v>20</v>
      </c>
      <c r="D16" s="1" t="s">
        <v>20</v>
      </c>
      <c r="E16" s="1" t="s">
        <v>42</v>
      </c>
      <c r="F16" s="1" t="s">
        <v>20</v>
      </c>
      <c r="G16" s="1" t="s">
        <v>20</v>
      </c>
      <c r="H16" s="1" t="s">
        <v>43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20</v>
      </c>
      <c r="O16" s="1" t="s">
        <v>20</v>
      </c>
      <c r="P16" s="1" t="s">
        <v>20</v>
      </c>
      <c r="Q16" s="1" t="s">
        <v>20</v>
      </c>
    </row>
    <row r="17" spans="1:17" x14ac:dyDescent="0.3">
      <c r="A17" s="1" t="s">
        <v>20</v>
      </c>
      <c r="B17" s="2" t="s">
        <v>20</v>
      </c>
      <c r="C17" s="2" t="s">
        <v>20</v>
      </c>
      <c r="D17" s="1" t="s">
        <v>20</v>
      </c>
      <c r="E17" s="1" t="s">
        <v>20</v>
      </c>
      <c r="F17" s="1" t="s">
        <v>44</v>
      </c>
      <c r="G17" s="1" t="s">
        <v>20</v>
      </c>
      <c r="H17" s="1" t="s">
        <v>45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20</v>
      </c>
      <c r="O17" s="1" t="s">
        <v>20</v>
      </c>
      <c r="P17" s="1" t="s">
        <v>20</v>
      </c>
      <c r="Q17" s="1" t="s">
        <v>20</v>
      </c>
    </row>
    <row r="18" spans="1:17" x14ac:dyDescent="0.3">
      <c r="A18" s="1" t="s">
        <v>46</v>
      </c>
      <c r="B18" s="2" t="s">
        <v>18</v>
      </c>
      <c r="C18" s="2" t="str">
        <f>HYPERLINK("https://team-xujm.testit.software/projects/1/tests/170", "Выбор фильмов по фильтру (Расширенный поиск).")</f>
        <v>Выбор фильмов по фильтру (Расширенный поиск).</v>
      </c>
      <c r="D18" s="1" t="s">
        <v>19</v>
      </c>
      <c r="E18" s="1" t="s">
        <v>20</v>
      </c>
      <c r="F18" s="1" t="s">
        <v>20</v>
      </c>
      <c r="G18" s="1" t="s">
        <v>20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21</v>
      </c>
      <c r="M18" s="1" t="s">
        <v>120</v>
      </c>
      <c r="N18" s="1" t="s">
        <v>47</v>
      </c>
      <c r="O18" s="1" t="s">
        <v>23</v>
      </c>
      <c r="P18" s="1" t="s">
        <v>24</v>
      </c>
      <c r="Q18" s="1" t="s">
        <v>41</v>
      </c>
    </row>
    <row r="19" spans="1:17" x14ac:dyDescent="0.3">
      <c r="A19" s="1" t="s">
        <v>20</v>
      </c>
      <c r="B19" s="2" t="s">
        <v>20</v>
      </c>
      <c r="C19" s="2" t="s">
        <v>20</v>
      </c>
      <c r="D19" s="1" t="s">
        <v>20</v>
      </c>
      <c r="E19" s="1" t="s">
        <v>48</v>
      </c>
      <c r="F19" s="1" t="s">
        <v>20</v>
      </c>
      <c r="G19" s="1" t="s">
        <v>20</v>
      </c>
      <c r="H19" s="1" t="s">
        <v>43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  <c r="P19" s="1" t="s">
        <v>20</v>
      </c>
      <c r="Q19" s="1" t="s">
        <v>20</v>
      </c>
    </row>
    <row r="20" spans="1:17" x14ac:dyDescent="0.3">
      <c r="A20" s="1" t="s">
        <v>20</v>
      </c>
      <c r="B20" s="2" t="s">
        <v>20</v>
      </c>
      <c r="C20" s="2" t="s">
        <v>20</v>
      </c>
      <c r="D20" s="1" t="s">
        <v>20</v>
      </c>
      <c r="E20" s="1" t="s">
        <v>20</v>
      </c>
      <c r="F20" s="1" t="s">
        <v>20</v>
      </c>
      <c r="G20" s="1" t="s">
        <v>20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20</v>
      </c>
      <c r="O20" s="1" t="s">
        <v>20</v>
      </c>
      <c r="P20" s="1" t="s">
        <v>20</v>
      </c>
      <c r="Q20" s="1" t="s">
        <v>20</v>
      </c>
    </row>
    <row r="21" spans="1:17" x14ac:dyDescent="0.3">
      <c r="A21" s="1" t="s">
        <v>20</v>
      </c>
      <c r="B21" s="2" t="s">
        <v>20</v>
      </c>
      <c r="C21" s="2" t="s">
        <v>20</v>
      </c>
      <c r="D21" s="1" t="s">
        <v>20</v>
      </c>
      <c r="E21" s="1" t="s">
        <v>20</v>
      </c>
      <c r="F21" s="1" t="s">
        <v>49</v>
      </c>
      <c r="G21" s="1" t="s">
        <v>20</v>
      </c>
      <c r="H21" s="1" t="s">
        <v>50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20</v>
      </c>
      <c r="O21" s="1" t="s">
        <v>20</v>
      </c>
      <c r="P21" s="1" t="s">
        <v>20</v>
      </c>
      <c r="Q21" s="1" t="s">
        <v>20</v>
      </c>
    </row>
    <row r="22" spans="1:17" x14ac:dyDescent="0.3">
      <c r="A22" s="1" t="s">
        <v>20</v>
      </c>
      <c r="B22" s="2" t="s">
        <v>20</v>
      </c>
      <c r="C22" s="2" t="s">
        <v>20</v>
      </c>
      <c r="D22" s="1" t="s">
        <v>20</v>
      </c>
      <c r="E22" s="1" t="s">
        <v>20</v>
      </c>
      <c r="F22" s="1" t="s">
        <v>51</v>
      </c>
      <c r="G22" s="1" t="s">
        <v>20</v>
      </c>
      <c r="H22" s="1" t="s">
        <v>52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20</v>
      </c>
      <c r="O22" s="1" t="s">
        <v>20</v>
      </c>
      <c r="P22" s="1" t="s">
        <v>20</v>
      </c>
      <c r="Q22" s="1" t="s">
        <v>20</v>
      </c>
    </row>
    <row r="23" spans="1:17" x14ac:dyDescent="0.3">
      <c r="A23" s="1" t="s">
        <v>20</v>
      </c>
      <c r="B23" s="2" t="s">
        <v>20</v>
      </c>
      <c r="C23" s="2" t="s">
        <v>20</v>
      </c>
      <c r="D23" s="1" t="s">
        <v>20</v>
      </c>
      <c r="E23" s="1" t="s">
        <v>20</v>
      </c>
      <c r="F23" s="1" t="s">
        <v>53</v>
      </c>
      <c r="G23" s="1" t="s">
        <v>20</v>
      </c>
      <c r="H23" s="1" t="s">
        <v>54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20</v>
      </c>
      <c r="O23" s="1" t="s">
        <v>20</v>
      </c>
      <c r="P23" s="1" t="s">
        <v>20</v>
      </c>
      <c r="Q23" s="1" t="s">
        <v>20</v>
      </c>
    </row>
    <row r="24" spans="1:17" x14ac:dyDescent="0.3">
      <c r="A24" s="1" t="s">
        <v>20</v>
      </c>
      <c r="B24" s="2" t="s">
        <v>20</v>
      </c>
      <c r="C24" s="2" t="s">
        <v>20</v>
      </c>
      <c r="D24" s="1" t="s">
        <v>20</v>
      </c>
      <c r="E24" s="1" t="s">
        <v>20</v>
      </c>
      <c r="F24" s="1" t="s">
        <v>55</v>
      </c>
      <c r="G24" s="1" t="s">
        <v>20</v>
      </c>
      <c r="H24" s="1" t="s">
        <v>56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20</v>
      </c>
      <c r="O24" s="1" t="s">
        <v>20</v>
      </c>
      <c r="P24" s="1" t="s">
        <v>20</v>
      </c>
      <c r="Q24" s="1" t="s">
        <v>20</v>
      </c>
    </row>
    <row r="25" spans="1:17" ht="57.6" x14ac:dyDescent="0.3">
      <c r="A25" s="1" t="s">
        <v>20</v>
      </c>
      <c r="B25" s="2" t="s">
        <v>20</v>
      </c>
      <c r="C25" s="2" t="s">
        <v>20</v>
      </c>
      <c r="D25" s="1" t="s">
        <v>20</v>
      </c>
      <c r="E25" s="1" t="s">
        <v>20</v>
      </c>
      <c r="F25" s="1" t="s">
        <v>57</v>
      </c>
      <c r="G25" s="1" t="s">
        <v>20</v>
      </c>
      <c r="H25" s="2" t="s">
        <v>58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20</v>
      </c>
      <c r="O25" s="1" t="s">
        <v>20</v>
      </c>
      <c r="P25" s="1" t="s">
        <v>20</v>
      </c>
      <c r="Q25" s="1" t="s">
        <v>20</v>
      </c>
    </row>
    <row r="26" spans="1:17" x14ac:dyDescent="0.3">
      <c r="A26" s="1" t="s">
        <v>59</v>
      </c>
      <c r="B26" s="2" t="s">
        <v>18</v>
      </c>
      <c r="C26" s="2" t="str">
        <f>HYPERLINK("https://team-xujm.testit.software/projects/1/tests/171", "Поиск карточка персоны (актера/режиссера).")</f>
        <v>Поиск карточка персоны (актера/режиссера).</v>
      </c>
      <c r="D26" s="1" t="s">
        <v>19</v>
      </c>
      <c r="E26" s="1" t="s">
        <v>20</v>
      </c>
      <c r="F26" s="1" t="s">
        <v>20</v>
      </c>
      <c r="G26" s="1" t="s">
        <v>20</v>
      </c>
      <c r="H26" s="1" t="s">
        <v>20</v>
      </c>
      <c r="I26" s="1" t="s">
        <v>20</v>
      </c>
      <c r="J26" s="1" t="s">
        <v>20</v>
      </c>
      <c r="K26" s="1" t="s">
        <v>20</v>
      </c>
      <c r="L26" s="1" t="s">
        <v>21</v>
      </c>
      <c r="M26" s="1" t="s">
        <v>120</v>
      </c>
      <c r="N26" s="1" t="s">
        <v>60</v>
      </c>
      <c r="O26" s="1" t="s">
        <v>23</v>
      </c>
      <c r="P26" s="1" t="s">
        <v>24</v>
      </c>
      <c r="Q26" s="1" t="s">
        <v>41</v>
      </c>
    </row>
    <row r="27" spans="1:17" x14ac:dyDescent="0.3">
      <c r="A27" s="1" t="s">
        <v>20</v>
      </c>
      <c r="B27" s="2" t="s">
        <v>20</v>
      </c>
      <c r="C27" s="2" t="s">
        <v>20</v>
      </c>
      <c r="D27" s="1" t="s">
        <v>20</v>
      </c>
      <c r="E27" s="1" t="s">
        <v>42</v>
      </c>
      <c r="F27" s="1" t="s">
        <v>20</v>
      </c>
      <c r="G27" s="1" t="s">
        <v>20</v>
      </c>
      <c r="H27" s="1" t="s">
        <v>43</v>
      </c>
      <c r="I27" s="1" t="s">
        <v>20</v>
      </c>
      <c r="J27" s="1" t="s">
        <v>20</v>
      </c>
      <c r="K27" s="1" t="s">
        <v>20</v>
      </c>
      <c r="L27" s="1" t="s">
        <v>20</v>
      </c>
      <c r="M27" s="1" t="s">
        <v>20</v>
      </c>
      <c r="N27" s="1" t="s">
        <v>20</v>
      </c>
      <c r="O27" s="1" t="s">
        <v>20</v>
      </c>
      <c r="P27" s="1" t="s">
        <v>20</v>
      </c>
      <c r="Q27" s="1" t="s">
        <v>20</v>
      </c>
    </row>
    <row r="28" spans="1:17" x14ac:dyDescent="0.3">
      <c r="A28" s="1" t="s">
        <v>20</v>
      </c>
      <c r="B28" s="2" t="s">
        <v>20</v>
      </c>
      <c r="C28" s="2" t="s">
        <v>20</v>
      </c>
      <c r="D28" s="1" t="s">
        <v>20</v>
      </c>
      <c r="E28" s="1" t="s">
        <v>20</v>
      </c>
      <c r="F28" s="1" t="s">
        <v>61</v>
      </c>
      <c r="G28" s="1" t="s">
        <v>20</v>
      </c>
      <c r="H28" s="1" t="s">
        <v>62</v>
      </c>
      <c r="I28" s="1" t="s">
        <v>20</v>
      </c>
      <c r="J28" s="1" t="s">
        <v>20</v>
      </c>
      <c r="K28" s="1" t="s">
        <v>20</v>
      </c>
      <c r="L28" s="1" t="s">
        <v>20</v>
      </c>
      <c r="M28" s="1" t="s">
        <v>20</v>
      </c>
      <c r="N28" s="1" t="s">
        <v>20</v>
      </c>
      <c r="O28" s="1" t="s">
        <v>20</v>
      </c>
      <c r="P28" s="1" t="s">
        <v>20</v>
      </c>
      <c r="Q28" s="1" t="s">
        <v>20</v>
      </c>
    </row>
    <row r="29" spans="1:17" x14ac:dyDescent="0.3">
      <c r="A29" s="1" t="s">
        <v>20</v>
      </c>
      <c r="B29" s="2" t="s">
        <v>20</v>
      </c>
      <c r="C29" s="2" t="s">
        <v>20</v>
      </c>
      <c r="D29" s="1" t="s">
        <v>20</v>
      </c>
      <c r="E29" s="1" t="s">
        <v>20</v>
      </c>
      <c r="F29" s="1" t="s">
        <v>63</v>
      </c>
      <c r="G29" s="1" t="s">
        <v>20</v>
      </c>
      <c r="H29" s="1" t="s">
        <v>64</v>
      </c>
      <c r="I29" s="1" t="s">
        <v>20</v>
      </c>
      <c r="J29" s="1" t="s">
        <v>20</v>
      </c>
      <c r="K29" s="1" t="s">
        <v>20</v>
      </c>
      <c r="L29" s="1" t="s">
        <v>20</v>
      </c>
      <c r="M29" s="1" t="s">
        <v>20</v>
      </c>
      <c r="N29" s="1" t="s">
        <v>20</v>
      </c>
      <c r="O29" s="1" t="s">
        <v>20</v>
      </c>
      <c r="P29" s="1" t="s">
        <v>20</v>
      </c>
      <c r="Q29" s="1" t="s">
        <v>20</v>
      </c>
    </row>
    <row r="30" spans="1:17" x14ac:dyDescent="0.3">
      <c r="A30" s="1" t="s">
        <v>20</v>
      </c>
      <c r="B30" s="2" t="s">
        <v>20</v>
      </c>
      <c r="C30" s="2" t="s">
        <v>20</v>
      </c>
      <c r="D30" s="1" t="s">
        <v>20</v>
      </c>
      <c r="E30" s="1" t="s">
        <v>20</v>
      </c>
      <c r="F30" s="1" t="s">
        <v>65</v>
      </c>
      <c r="G30" s="1" t="s">
        <v>20</v>
      </c>
      <c r="H30" s="1" t="s">
        <v>66</v>
      </c>
      <c r="I30" s="1" t="s">
        <v>20</v>
      </c>
      <c r="J30" s="1" t="s">
        <v>20</v>
      </c>
      <c r="K30" s="1" t="s">
        <v>20</v>
      </c>
      <c r="L30" s="1" t="s">
        <v>20</v>
      </c>
      <c r="M30" s="1" t="s">
        <v>20</v>
      </c>
      <c r="N30" s="1" t="s">
        <v>20</v>
      </c>
      <c r="O30" s="1" t="s">
        <v>20</v>
      </c>
      <c r="P30" s="1" t="s">
        <v>20</v>
      </c>
      <c r="Q30" s="1" t="s">
        <v>20</v>
      </c>
    </row>
    <row r="31" spans="1:17" x14ac:dyDescent="0.3">
      <c r="A31" s="1" t="s">
        <v>67</v>
      </c>
      <c r="B31" s="2" t="s">
        <v>18</v>
      </c>
      <c r="C31" s="2" t="str">
        <f>HYPERLINK("https://team-xujm.testit.software/projects/1/tests/172", "Поиск фильма с некорректной раскладкой.")</f>
        <v>Поиск фильма с некорректной раскладкой.</v>
      </c>
      <c r="D31" s="1" t="s">
        <v>19</v>
      </c>
      <c r="E31" s="1" t="s">
        <v>20</v>
      </c>
      <c r="F31" s="1" t="s">
        <v>20</v>
      </c>
      <c r="G31" s="1" t="s">
        <v>20</v>
      </c>
      <c r="H31" s="1" t="s">
        <v>20</v>
      </c>
      <c r="I31" s="1" t="s">
        <v>20</v>
      </c>
      <c r="J31" s="1" t="s">
        <v>20</v>
      </c>
      <c r="K31" s="1" t="s">
        <v>20</v>
      </c>
      <c r="L31" s="1" t="s">
        <v>68</v>
      </c>
      <c r="M31" s="1" t="s">
        <v>120</v>
      </c>
      <c r="N31" s="1" t="s">
        <v>69</v>
      </c>
      <c r="O31" s="1" t="s">
        <v>23</v>
      </c>
      <c r="P31" s="1" t="s">
        <v>24</v>
      </c>
      <c r="Q31" s="1" t="s">
        <v>41</v>
      </c>
    </row>
    <row r="32" spans="1:17" x14ac:dyDescent="0.3">
      <c r="A32" s="1" t="s">
        <v>20</v>
      </c>
      <c r="B32" s="2" t="s">
        <v>20</v>
      </c>
      <c r="C32" s="2" t="s">
        <v>20</v>
      </c>
      <c r="D32" s="1" t="s">
        <v>20</v>
      </c>
      <c r="E32" s="1" t="s">
        <v>42</v>
      </c>
      <c r="F32" s="1" t="s">
        <v>20</v>
      </c>
      <c r="G32" s="1" t="s">
        <v>20</v>
      </c>
      <c r="H32" s="1" t="s">
        <v>43</v>
      </c>
      <c r="I32" s="1" t="s">
        <v>20</v>
      </c>
      <c r="J32" s="1" t="s">
        <v>20</v>
      </c>
      <c r="K32" s="1" t="s">
        <v>20</v>
      </c>
      <c r="L32" s="1" t="s">
        <v>20</v>
      </c>
      <c r="M32" s="1" t="s">
        <v>20</v>
      </c>
      <c r="N32" s="1" t="s">
        <v>20</v>
      </c>
      <c r="O32" s="1" t="s">
        <v>20</v>
      </c>
      <c r="P32" s="1" t="s">
        <v>20</v>
      </c>
      <c r="Q32" s="1" t="s">
        <v>20</v>
      </c>
    </row>
    <row r="33" spans="1:17" x14ac:dyDescent="0.3">
      <c r="A33" s="1" t="s">
        <v>20</v>
      </c>
      <c r="B33" s="2" t="s">
        <v>20</v>
      </c>
      <c r="C33" s="2" t="s">
        <v>20</v>
      </c>
      <c r="D33" s="1" t="s">
        <v>20</v>
      </c>
      <c r="E33" s="1" t="s">
        <v>20</v>
      </c>
      <c r="F33" s="1" t="s">
        <v>70</v>
      </c>
      <c r="G33" s="1" t="s">
        <v>20</v>
      </c>
      <c r="H33" s="1" t="s">
        <v>71</v>
      </c>
      <c r="I33" s="1" t="s">
        <v>20</v>
      </c>
      <c r="J33" s="1" t="s">
        <v>20</v>
      </c>
      <c r="K33" s="1" t="s">
        <v>20</v>
      </c>
      <c r="L33" s="1" t="s">
        <v>20</v>
      </c>
      <c r="M33" s="1" t="s">
        <v>20</v>
      </c>
      <c r="N33" s="1" t="s">
        <v>20</v>
      </c>
      <c r="O33" s="1" t="s">
        <v>20</v>
      </c>
      <c r="P33" s="1" t="s">
        <v>20</v>
      </c>
      <c r="Q33" s="1" t="s">
        <v>20</v>
      </c>
    </row>
    <row r="34" spans="1:17" x14ac:dyDescent="0.3">
      <c r="A34" s="1" t="s">
        <v>72</v>
      </c>
      <c r="B34" s="2" t="s">
        <v>18</v>
      </c>
      <c r="C34" s="2" t="str">
        <f>HYPERLINK("https://team-xujm.testit.software/projects/1/tests/173", "Успешный вход в аккаунт через Яндекс ID.")</f>
        <v>Успешный вход в аккаунт через Яндекс ID.</v>
      </c>
      <c r="D34" s="1" t="s">
        <v>19</v>
      </c>
      <c r="E34" s="1" t="s">
        <v>20</v>
      </c>
      <c r="F34" s="1" t="s">
        <v>20</v>
      </c>
      <c r="G34" s="1" t="s">
        <v>20</v>
      </c>
      <c r="H34" s="1" t="s">
        <v>20</v>
      </c>
      <c r="I34" s="1" t="s">
        <v>20</v>
      </c>
      <c r="J34" s="1" t="s">
        <v>20</v>
      </c>
      <c r="K34" s="1" t="s">
        <v>20</v>
      </c>
      <c r="L34" s="1" t="s">
        <v>73</v>
      </c>
      <c r="M34" s="1" t="s">
        <v>120</v>
      </c>
      <c r="N34" s="1" t="s">
        <v>74</v>
      </c>
      <c r="O34" s="1" t="s">
        <v>23</v>
      </c>
      <c r="P34" s="1" t="s">
        <v>24</v>
      </c>
      <c r="Q34" s="1" t="s">
        <v>41</v>
      </c>
    </row>
    <row r="35" spans="1:17" x14ac:dyDescent="0.3">
      <c r="A35" s="1" t="s">
        <v>20</v>
      </c>
      <c r="B35" s="2" t="s">
        <v>20</v>
      </c>
      <c r="C35" s="2" t="s">
        <v>20</v>
      </c>
      <c r="D35" s="1" t="s">
        <v>20</v>
      </c>
      <c r="E35" s="1" t="s">
        <v>42</v>
      </c>
      <c r="F35" s="1" t="s">
        <v>20</v>
      </c>
      <c r="G35" s="1" t="s">
        <v>20</v>
      </c>
      <c r="H35" s="1" t="s">
        <v>43</v>
      </c>
      <c r="I35" s="1" t="s">
        <v>20</v>
      </c>
      <c r="J35" s="1" t="s">
        <v>20</v>
      </c>
      <c r="K35" s="1" t="s">
        <v>20</v>
      </c>
      <c r="L35" s="1" t="s">
        <v>20</v>
      </c>
      <c r="M35" s="1" t="s">
        <v>20</v>
      </c>
      <c r="N35" s="1" t="s">
        <v>20</v>
      </c>
      <c r="O35" s="1" t="s">
        <v>20</v>
      </c>
      <c r="P35" s="1" t="s">
        <v>20</v>
      </c>
      <c r="Q35" s="1" t="s">
        <v>20</v>
      </c>
    </row>
    <row r="36" spans="1:17" x14ac:dyDescent="0.3">
      <c r="A36" s="1" t="s">
        <v>20</v>
      </c>
      <c r="B36" s="2" t="s">
        <v>20</v>
      </c>
      <c r="C36" s="2" t="s">
        <v>20</v>
      </c>
      <c r="D36" s="1" t="s">
        <v>20</v>
      </c>
      <c r="E36" s="1" t="s">
        <v>20</v>
      </c>
      <c r="F36" s="1" t="s">
        <v>75</v>
      </c>
      <c r="G36" s="1" t="s">
        <v>20</v>
      </c>
      <c r="H36" s="1" t="s">
        <v>76</v>
      </c>
      <c r="I36" s="1" t="s">
        <v>20</v>
      </c>
      <c r="J36" s="1" t="s">
        <v>20</v>
      </c>
      <c r="K36" s="1" t="s">
        <v>20</v>
      </c>
      <c r="L36" s="1" t="s">
        <v>20</v>
      </c>
      <c r="M36" s="1" t="s">
        <v>20</v>
      </c>
      <c r="N36" s="1" t="s">
        <v>20</v>
      </c>
      <c r="O36" s="1" t="s">
        <v>20</v>
      </c>
      <c r="P36" s="1" t="s">
        <v>20</v>
      </c>
      <c r="Q36" s="1" t="s">
        <v>20</v>
      </c>
    </row>
    <row r="37" spans="1:17" x14ac:dyDescent="0.3">
      <c r="A37" s="1" t="s">
        <v>77</v>
      </c>
      <c r="B37" s="2" t="s">
        <v>18</v>
      </c>
      <c r="C37" s="2" t="str">
        <f>HYPERLINK("https://team-xujm.testit.software/projects/1/tests/217", "Проверка медиа-раздела (новости, тесты)")</f>
        <v>Проверка медиа-раздела (новости, тесты)</v>
      </c>
      <c r="D37" s="1" t="s">
        <v>19</v>
      </c>
      <c r="E37" s="1" t="s">
        <v>20</v>
      </c>
      <c r="F37" s="1" t="s">
        <v>20</v>
      </c>
      <c r="G37" s="1" t="s">
        <v>20</v>
      </c>
      <c r="H37" s="1" t="s">
        <v>20</v>
      </c>
      <c r="I37" s="1" t="s">
        <v>20</v>
      </c>
      <c r="J37" s="1" t="s">
        <v>20</v>
      </c>
      <c r="K37" s="1" t="s">
        <v>20</v>
      </c>
      <c r="L37" s="1" t="s">
        <v>21</v>
      </c>
      <c r="M37" s="1" t="s">
        <v>120</v>
      </c>
      <c r="N37" s="1" t="s">
        <v>78</v>
      </c>
      <c r="O37" s="1" t="s">
        <v>23</v>
      </c>
      <c r="P37" s="1" t="s">
        <v>24</v>
      </c>
      <c r="Q37" s="1" t="s">
        <v>41</v>
      </c>
    </row>
    <row r="38" spans="1:17" x14ac:dyDescent="0.3">
      <c r="A38" s="1" t="s">
        <v>20</v>
      </c>
      <c r="B38" s="2" t="s">
        <v>20</v>
      </c>
      <c r="C38" s="2" t="s">
        <v>20</v>
      </c>
      <c r="D38" s="1" t="s">
        <v>20</v>
      </c>
      <c r="E38" s="1" t="s">
        <v>48</v>
      </c>
      <c r="F38" s="1" t="s">
        <v>20</v>
      </c>
      <c r="G38" s="1" t="s">
        <v>20</v>
      </c>
      <c r="H38" s="1" t="s">
        <v>79</v>
      </c>
      <c r="I38" s="1" t="s">
        <v>20</v>
      </c>
      <c r="J38" s="1" t="s">
        <v>20</v>
      </c>
      <c r="K38" s="1" t="s">
        <v>20</v>
      </c>
      <c r="L38" s="1" t="s">
        <v>20</v>
      </c>
      <c r="M38" s="1" t="s">
        <v>20</v>
      </c>
      <c r="N38" s="1" t="s">
        <v>20</v>
      </c>
      <c r="O38" s="1" t="s">
        <v>20</v>
      </c>
      <c r="P38" s="1" t="s">
        <v>20</v>
      </c>
      <c r="Q38" s="1" t="s">
        <v>20</v>
      </c>
    </row>
    <row r="39" spans="1:17" x14ac:dyDescent="0.3">
      <c r="A39" s="1" t="s">
        <v>20</v>
      </c>
      <c r="B39" s="2" t="s">
        <v>20</v>
      </c>
      <c r="C39" s="2" t="s">
        <v>20</v>
      </c>
      <c r="D39" s="1" t="s">
        <v>20</v>
      </c>
      <c r="E39" s="1" t="s">
        <v>20</v>
      </c>
      <c r="F39" s="1" t="s">
        <v>80</v>
      </c>
      <c r="G39" s="1" t="s">
        <v>20</v>
      </c>
      <c r="H39" s="1" t="s">
        <v>81</v>
      </c>
      <c r="I39" s="1" t="s">
        <v>20</v>
      </c>
      <c r="J39" s="1" t="s">
        <v>20</v>
      </c>
      <c r="K39" s="1" t="s">
        <v>20</v>
      </c>
      <c r="L39" s="1" t="s">
        <v>20</v>
      </c>
      <c r="M39" s="1" t="s">
        <v>20</v>
      </c>
      <c r="N39" s="1" t="s">
        <v>20</v>
      </c>
      <c r="O39" s="1" t="s">
        <v>20</v>
      </c>
      <c r="P39" s="1" t="s">
        <v>20</v>
      </c>
      <c r="Q39" s="1" t="s">
        <v>20</v>
      </c>
    </row>
    <row r="40" spans="1:17" x14ac:dyDescent="0.3">
      <c r="A40" s="1" t="s">
        <v>20</v>
      </c>
      <c r="B40" s="2" t="s">
        <v>20</v>
      </c>
      <c r="C40" s="2" t="s">
        <v>20</v>
      </c>
      <c r="D40" s="1" t="s">
        <v>20</v>
      </c>
      <c r="E40" s="1" t="s">
        <v>20</v>
      </c>
      <c r="F40" s="1" t="s">
        <v>82</v>
      </c>
      <c r="G40" s="1" t="s">
        <v>20</v>
      </c>
      <c r="H40" s="1" t="s">
        <v>83</v>
      </c>
      <c r="I40" s="1" t="s">
        <v>20</v>
      </c>
      <c r="J40" s="1" t="s">
        <v>20</v>
      </c>
      <c r="K40" s="1" t="s">
        <v>20</v>
      </c>
      <c r="L40" s="1" t="s">
        <v>20</v>
      </c>
      <c r="M40" s="1" t="s">
        <v>20</v>
      </c>
      <c r="N40" s="1" t="s">
        <v>20</v>
      </c>
      <c r="O40" s="1" t="s">
        <v>20</v>
      </c>
      <c r="P40" s="1" t="s">
        <v>20</v>
      </c>
      <c r="Q40" s="1" t="s">
        <v>20</v>
      </c>
    </row>
    <row r="41" spans="1:17" x14ac:dyDescent="0.3">
      <c r="A41" s="1" t="s">
        <v>20</v>
      </c>
      <c r="B41" s="2" t="s">
        <v>20</v>
      </c>
      <c r="C41" s="2" t="s">
        <v>20</v>
      </c>
      <c r="D41" s="1" t="s">
        <v>20</v>
      </c>
      <c r="E41" s="1" t="s">
        <v>20</v>
      </c>
      <c r="F41" s="1" t="s">
        <v>84</v>
      </c>
      <c r="G41" s="1" t="s">
        <v>20</v>
      </c>
      <c r="H41" s="1" t="s">
        <v>85</v>
      </c>
      <c r="I41" s="1" t="s">
        <v>20</v>
      </c>
      <c r="J41" s="1" t="s">
        <v>20</v>
      </c>
      <c r="K41" s="1" t="s">
        <v>20</v>
      </c>
      <c r="L41" s="1" t="s">
        <v>20</v>
      </c>
      <c r="M41" s="1" t="s">
        <v>20</v>
      </c>
      <c r="N41" s="1" t="s">
        <v>20</v>
      </c>
      <c r="O41" s="1" t="s">
        <v>20</v>
      </c>
      <c r="P41" s="1" t="s">
        <v>20</v>
      </c>
      <c r="Q41" s="1" t="s">
        <v>20</v>
      </c>
    </row>
    <row r="42" spans="1:17" x14ac:dyDescent="0.3">
      <c r="A42" s="1" t="s">
        <v>20</v>
      </c>
      <c r="B42" s="2" t="s">
        <v>20</v>
      </c>
      <c r="C42" s="2" t="s">
        <v>20</v>
      </c>
      <c r="D42" s="1" t="s">
        <v>20</v>
      </c>
      <c r="E42" s="1" t="s">
        <v>20</v>
      </c>
      <c r="F42" s="1" t="s">
        <v>86</v>
      </c>
      <c r="G42" s="1" t="s">
        <v>20</v>
      </c>
      <c r="H42" s="1" t="s">
        <v>87</v>
      </c>
      <c r="I42" s="1" t="s">
        <v>20</v>
      </c>
      <c r="J42" s="1" t="s">
        <v>20</v>
      </c>
      <c r="K42" s="1" t="s">
        <v>20</v>
      </c>
      <c r="L42" s="1" t="s">
        <v>20</v>
      </c>
      <c r="M42" s="1" t="s">
        <v>20</v>
      </c>
      <c r="N42" s="1" t="s">
        <v>20</v>
      </c>
      <c r="O42" s="1" t="s">
        <v>20</v>
      </c>
      <c r="P42" s="1" t="s">
        <v>20</v>
      </c>
      <c r="Q42" s="1" t="s">
        <v>20</v>
      </c>
    </row>
    <row r="43" spans="1:17" x14ac:dyDescent="0.3">
      <c r="A43" s="1" t="s">
        <v>20</v>
      </c>
      <c r="B43" s="2" t="s">
        <v>20</v>
      </c>
      <c r="C43" s="2" t="s">
        <v>20</v>
      </c>
      <c r="D43" s="1" t="s">
        <v>20</v>
      </c>
      <c r="E43" s="1" t="s">
        <v>20</v>
      </c>
      <c r="F43" s="1" t="s">
        <v>88</v>
      </c>
      <c r="G43" s="1" t="s">
        <v>20</v>
      </c>
      <c r="H43" s="1" t="s">
        <v>89</v>
      </c>
      <c r="I43" s="1" t="s">
        <v>20</v>
      </c>
      <c r="J43" s="1" t="s">
        <v>20</v>
      </c>
      <c r="K43" s="1" t="s">
        <v>20</v>
      </c>
      <c r="L43" s="1" t="s">
        <v>20</v>
      </c>
      <c r="M43" s="1" t="s">
        <v>20</v>
      </c>
      <c r="N43" s="1" t="s">
        <v>20</v>
      </c>
      <c r="O43" s="1" t="s">
        <v>20</v>
      </c>
      <c r="P43" s="1" t="s">
        <v>20</v>
      </c>
      <c r="Q43" s="1" t="s">
        <v>20</v>
      </c>
    </row>
    <row r="44" spans="1:17" x14ac:dyDescent="0.3">
      <c r="A44" s="1" t="s">
        <v>90</v>
      </c>
      <c r="B44" s="2" t="s">
        <v>18</v>
      </c>
      <c r="C44" s="2" t="str">
        <f>HYPERLINK("https://team-xujm.testit.software/projects/1/tests/215", "Добавление фильма в список «Буду смотреть».")</f>
        <v>Добавление фильма в список «Буду смотреть».</v>
      </c>
      <c r="D44" s="1" t="s">
        <v>19</v>
      </c>
      <c r="E44" s="1" t="s">
        <v>20</v>
      </c>
      <c r="F44" s="1" t="s">
        <v>20</v>
      </c>
      <c r="G44" s="1" t="s">
        <v>20</v>
      </c>
      <c r="H44" s="1" t="s">
        <v>20</v>
      </c>
      <c r="I44" s="1" t="s">
        <v>20</v>
      </c>
      <c r="J44" s="1" t="s">
        <v>20</v>
      </c>
      <c r="K44" s="1" t="s">
        <v>20</v>
      </c>
      <c r="L44" s="1" t="s">
        <v>39</v>
      </c>
      <c r="M44" s="1" t="s">
        <v>120</v>
      </c>
      <c r="N44" s="1" t="s">
        <v>91</v>
      </c>
      <c r="O44" s="1" t="s">
        <v>23</v>
      </c>
      <c r="P44" s="1" t="s">
        <v>24</v>
      </c>
      <c r="Q44" s="1" t="s">
        <v>41</v>
      </c>
    </row>
    <row r="45" spans="1:17" x14ac:dyDescent="0.3">
      <c r="A45" s="1" t="s">
        <v>20</v>
      </c>
      <c r="B45" s="2" t="s">
        <v>20</v>
      </c>
      <c r="C45" s="2" t="s">
        <v>20</v>
      </c>
      <c r="D45" s="1" t="s">
        <v>20</v>
      </c>
      <c r="E45" s="1" t="s">
        <v>42</v>
      </c>
      <c r="F45" s="1" t="s">
        <v>20</v>
      </c>
      <c r="G45" s="1" t="s">
        <v>20</v>
      </c>
      <c r="H45" s="1" t="s">
        <v>43</v>
      </c>
      <c r="I45" s="1" t="s">
        <v>20</v>
      </c>
      <c r="J45" s="1" t="s">
        <v>20</v>
      </c>
      <c r="K45" s="1" t="s">
        <v>20</v>
      </c>
      <c r="L45" s="1" t="s">
        <v>20</v>
      </c>
      <c r="M45" s="1" t="s">
        <v>20</v>
      </c>
      <c r="N45" s="1" t="s">
        <v>20</v>
      </c>
      <c r="O45" s="1" t="s">
        <v>20</v>
      </c>
      <c r="P45" s="1" t="s">
        <v>20</v>
      </c>
      <c r="Q45" s="1" t="s">
        <v>20</v>
      </c>
    </row>
    <row r="46" spans="1:17" x14ac:dyDescent="0.3">
      <c r="A46" s="1" t="s">
        <v>20</v>
      </c>
      <c r="B46" s="2" t="s">
        <v>20</v>
      </c>
      <c r="C46" s="2" t="s">
        <v>20</v>
      </c>
      <c r="D46" s="1" t="s">
        <v>20</v>
      </c>
      <c r="E46" s="1" t="s">
        <v>20</v>
      </c>
      <c r="F46" s="1" t="s">
        <v>75</v>
      </c>
      <c r="G46" s="1" t="s">
        <v>20</v>
      </c>
      <c r="H46" s="1" t="s">
        <v>76</v>
      </c>
      <c r="I46" s="1" t="s">
        <v>20</v>
      </c>
      <c r="J46" s="1" t="s">
        <v>20</v>
      </c>
      <c r="K46" s="1" t="s">
        <v>20</v>
      </c>
      <c r="L46" s="1" t="s">
        <v>20</v>
      </c>
      <c r="M46" s="1" t="s">
        <v>20</v>
      </c>
      <c r="N46" s="1" t="s">
        <v>20</v>
      </c>
      <c r="O46" s="1" t="s">
        <v>20</v>
      </c>
      <c r="P46" s="1" t="s">
        <v>20</v>
      </c>
      <c r="Q46" s="1" t="s">
        <v>20</v>
      </c>
    </row>
    <row r="47" spans="1:17" x14ac:dyDescent="0.3">
      <c r="A47" s="1" t="s">
        <v>20</v>
      </c>
      <c r="B47" s="2" t="s">
        <v>20</v>
      </c>
      <c r="C47" s="2" t="s">
        <v>20</v>
      </c>
      <c r="D47" s="1" t="s">
        <v>20</v>
      </c>
      <c r="E47" s="1" t="s">
        <v>20</v>
      </c>
      <c r="F47" s="1" t="s">
        <v>92</v>
      </c>
      <c r="G47" s="1" t="s">
        <v>20</v>
      </c>
      <c r="H47" s="1" t="s">
        <v>93</v>
      </c>
      <c r="I47" s="1" t="s">
        <v>20</v>
      </c>
      <c r="J47" s="1" t="s">
        <v>20</v>
      </c>
      <c r="K47" s="1" t="s">
        <v>20</v>
      </c>
      <c r="L47" s="1" t="s">
        <v>20</v>
      </c>
      <c r="M47" s="1" t="s">
        <v>20</v>
      </c>
      <c r="N47" s="1" t="s">
        <v>20</v>
      </c>
      <c r="O47" s="1" t="s">
        <v>20</v>
      </c>
      <c r="P47" s="1" t="s">
        <v>20</v>
      </c>
      <c r="Q47" s="1" t="s">
        <v>20</v>
      </c>
    </row>
    <row r="48" spans="1:17" x14ac:dyDescent="0.3">
      <c r="A48" s="1" t="s">
        <v>94</v>
      </c>
      <c r="B48" s="2" t="s">
        <v>18</v>
      </c>
      <c r="C48" s="2" t="str">
        <f>HYPERLINK("https://team-xujm.testit.software/projects/1/tests/216", "Запуск фильма с активной подпиской.")</f>
        <v>Запуск фильма с активной подпиской.</v>
      </c>
      <c r="D48" s="1" t="s">
        <v>19</v>
      </c>
      <c r="E48" s="1" t="s">
        <v>20</v>
      </c>
      <c r="F48" s="1" t="s">
        <v>20</v>
      </c>
      <c r="G48" s="1" t="s">
        <v>20</v>
      </c>
      <c r="H48" s="1" t="s">
        <v>20</v>
      </c>
      <c r="I48" s="1" t="s">
        <v>20</v>
      </c>
      <c r="J48" s="1" t="s">
        <v>20</v>
      </c>
      <c r="K48" s="1" t="s">
        <v>20</v>
      </c>
      <c r="L48" s="1" t="s">
        <v>73</v>
      </c>
      <c r="M48" s="1" t="s">
        <v>120</v>
      </c>
      <c r="N48" s="1" t="s">
        <v>95</v>
      </c>
      <c r="O48" s="1" t="s">
        <v>23</v>
      </c>
      <c r="P48" s="1" t="s">
        <v>24</v>
      </c>
      <c r="Q48" s="1" t="s">
        <v>41</v>
      </c>
    </row>
    <row r="49" spans="1:17" x14ac:dyDescent="0.3">
      <c r="A49" s="1" t="s">
        <v>20</v>
      </c>
      <c r="B49" s="2" t="s">
        <v>20</v>
      </c>
      <c r="C49" s="2" t="s">
        <v>20</v>
      </c>
      <c r="D49" s="1" t="s">
        <v>20</v>
      </c>
      <c r="E49" s="1" t="s">
        <v>42</v>
      </c>
      <c r="F49" s="1" t="s">
        <v>20</v>
      </c>
      <c r="G49" s="1" t="s">
        <v>20</v>
      </c>
      <c r="H49" s="1" t="s">
        <v>43</v>
      </c>
      <c r="I49" s="1" t="s">
        <v>20</v>
      </c>
      <c r="J49" s="1" t="s">
        <v>20</v>
      </c>
      <c r="K49" s="1" t="s">
        <v>20</v>
      </c>
      <c r="L49" s="1" t="s">
        <v>20</v>
      </c>
      <c r="M49" s="1" t="s">
        <v>20</v>
      </c>
      <c r="N49" s="1" t="s">
        <v>20</v>
      </c>
      <c r="O49" s="1" t="s">
        <v>20</v>
      </c>
      <c r="P49" s="1" t="s">
        <v>20</v>
      </c>
      <c r="Q49" s="1" t="s">
        <v>20</v>
      </c>
    </row>
    <row r="50" spans="1:17" x14ac:dyDescent="0.3">
      <c r="A50" s="1" t="s">
        <v>20</v>
      </c>
      <c r="B50" s="2" t="s">
        <v>20</v>
      </c>
      <c r="C50" s="2" t="s">
        <v>20</v>
      </c>
      <c r="D50" s="1" t="s">
        <v>20</v>
      </c>
      <c r="E50" s="1" t="s">
        <v>20</v>
      </c>
      <c r="F50" s="1" t="s">
        <v>20</v>
      </c>
      <c r="G50" s="1" t="s">
        <v>20</v>
      </c>
      <c r="H50" s="1" t="s">
        <v>20</v>
      </c>
      <c r="I50" s="1" t="s">
        <v>20</v>
      </c>
      <c r="J50" s="1" t="s">
        <v>20</v>
      </c>
      <c r="K50" s="1" t="s">
        <v>20</v>
      </c>
      <c r="L50" s="1" t="s">
        <v>20</v>
      </c>
      <c r="M50" s="1" t="s">
        <v>20</v>
      </c>
      <c r="N50" s="1" t="s">
        <v>20</v>
      </c>
      <c r="O50" s="1" t="s">
        <v>20</v>
      </c>
      <c r="P50" s="1" t="s">
        <v>20</v>
      </c>
      <c r="Q50" s="1" t="s">
        <v>20</v>
      </c>
    </row>
    <row r="51" spans="1:17" x14ac:dyDescent="0.3">
      <c r="A51" s="1" t="s">
        <v>20</v>
      </c>
      <c r="B51" s="2" t="s">
        <v>20</v>
      </c>
      <c r="C51" s="2" t="s">
        <v>20</v>
      </c>
      <c r="D51" s="1" t="s">
        <v>20</v>
      </c>
      <c r="E51" s="1" t="s">
        <v>20</v>
      </c>
      <c r="F51" s="1" t="s">
        <v>75</v>
      </c>
      <c r="G51" s="1" t="s">
        <v>20</v>
      </c>
      <c r="H51" s="1" t="s">
        <v>76</v>
      </c>
      <c r="I51" s="1" t="s">
        <v>20</v>
      </c>
      <c r="J51" s="1" t="s">
        <v>20</v>
      </c>
      <c r="K51" s="1" t="s">
        <v>20</v>
      </c>
      <c r="L51" s="1" t="s">
        <v>20</v>
      </c>
      <c r="M51" s="1" t="s">
        <v>20</v>
      </c>
      <c r="N51" s="1" t="s">
        <v>20</v>
      </c>
      <c r="O51" s="1" t="s">
        <v>20</v>
      </c>
      <c r="P51" s="1" t="s">
        <v>20</v>
      </c>
      <c r="Q51" s="1" t="s">
        <v>20</v>
      </c>
    </row>
    <row r="52" spans="1:17" x14ac:dyDescent="0.3">
      <c r="A52" s="1" t="s">
        <v>20</v>
      </c>
      <c r="B52" s="2" t="s">
        <v>20</v>
      </c>
      <c r="C52" s="2" t="s">
        <v>20</v>
      </c>
      <c r="D52" s="1" t="s">
        <v>20</v>
      </c>
      <c r="E52" s="1" t="s">
        <v>20</v>
      </c>
      <c r="F52" s="1" t="s">
        <v>96</v>
      </c>
      <c r="G52" s="1" t="s">
        <v>20</v>
      </c>
      <c r="H52" s="1" t="s">
        <v>97</v>
      </c>
      <c r="I52" s="1" t="s">
        <v>20</v>
      </c>
      <c r="J52" s="1" t="s">
        <v>20</v>
      </c>
      <c r="K52" s="1" t="s">
        <v>20</v>
      </c>
      <c r="L52" s="1" t="s">
        <v>20</v>
      </c>
      <c r="M52" s="1" t="s">
        <v>20</v>
      </c>
      <c r="N52" s="1" t="s">
        <v>20</v>
      </c>
      <c r="O52" s="1" t="s">
        <v>20</v>
      </c>
      <c r="P52" s="1" t="s">
        <v>20</v>
      </c>
      <c r="Q52" s="1" t="s">
        <v>20</v>
      </c>
    </row>
    <row r="53" spans="1:17" x14ac:dyDescent="0.3">
      <c r="A53" s="1" t="s">
        <v>98</v>
      </c>
      <c r="B53" s="2" t="s">
        <v>18</v>
      </c>
      <c r="C53" s="2" t="str">
        <f>HYPERLINK("https://team-xujm.testit.software/projects/1/tests/206", "API- Получение медиа новости с сайта кинопоиск")</f>
        <v>API- Получение медиа новости с сайта кинопоиск</v>
      </c>
      <c r="D53" s="1" t="s">
        <v>19</v>
      </c>
      <c r="E53" s="1" t="s">
        <v>20</v>
      </c>
      <c r="F53" s="1" t="s">
        <v>20</v>
      </c>
      <c r="G53" s="1" t="s">
        <v>20</v>
      </c>
      <c r="H53" s="1" t="s">
        <v>20</v>
      </c>
      <c r="I53" s="1" t="s">
        <v>20</v>
      </c>
      <c r="J53" s="1" t="s">
        <v>20</v>
      </c>
      <c r="K53" s="1" t="s">
        <v>20</v>
      </c>
      <c r="L53" s="1" t="s">
        <v>68</v>
      </c>
      <c r="M53" s="1" t="s">
        <v>120</v>
      </c>
      <c r="N53" s="1" t="s">
        <v>99</v>
      </c>
      <c r="O53" s="1" t="s">
        <v>23</v>
      </c>
      <c r="P53" s="1" t="s">
        <v>24</v>
      </c>
      <c r="Q53" s="1" t="s">
        <v>41</v>
      </c>
    </row>
    <row r="54" spans="1:17" x14ac:dyDescent="0.3">
      <c r="A54" s="1" t="s">
        <v>20</v>
      </c>
      <c r="B54" s="2" t="s">
        <v>20</v>
      </c>
      <c r="C54" s="2" t="s">
        <v>20</v>
      </c>
      <c r="D54" s="1" t="s">
        <v>20</v>
      </c>
      <c r="E54" s="1" t="s">
        <v>100</v>
      </c>
      <c r="F54" s="1" t="s">
        <v>20</v>
      </c>
      <c r="G54" s="1" t="s">
        <v>20</v>
      </c>
      <c r="H54" s="1" t="s">
        <v>20</v>
      </c>
      <c r="I54" s="1" t="s">
        <v>20</v>
      </c>
      <c r="J54" s="1" t="s">
        <v>20</v>
      </c>
      <c r="K54" s="1" t="s">
        <v>20</v>
      </c>
      <c r="L54" s="1" t="s">
        <v>20</v>
      </c>
      <c r="M54" s="1" t="s">
        <v>20</v>
      </c>
      <c r="N54" s="1" t="s">
        <v>20</v>
      </c>
      <c r="O54" s="1" t="s">
        <v>20</v>
      </c>
      <c r="P54" s="1" t="s">
        <v>20</v>
      </c>
      <c r="Q54" s="1" t="s">
        <v>20</v>
      </c>
    </row>
    <row r="55" spans="1:17" ht="43.2" x14ac:dyDescent="0.3">
      <c r="A55" s="1" t="s">
        <v>20</v>
      </c>
      <c r="B55" s="2" t="s">
        <v>20</v>
      </c>
      <c r="C55" s="2" t="s">
        <v>20</v>
      </c>
      <c r="D55" s="1" t="s">
        <v>20</v>
      </c>
      <c r="E55" s="1" t="s">
        <v>20</v>
      </c>
      <c r="F55" s="1" t="s">
        <v>101</v>
      </c>
      <c r="G55" s="1" t="s">
        <v>20</v>
      </c>
      <c r="H55" s="2" t="s">
        <v>102</v>
      </c>
      <c r="I55" s="1" t="s">
        <v>20</v>
      </c>
      <c r="J55" s="1" t="s">
        <v>20</v>
      </c>
      <c r="K55" s="1" t="s">
        <v>20</v>
      </c>
      <c r="L55" s="1" t="s">
        <v>20</v>
      </c>
      <c r="M55" s="1" t="s">
        <v>20</v>
      </c>
      <c r="N55" s="1" t="s">
        <v>20</v>
      </c>
      <c r="O55" s="1" t="s">
        <v>20</v>
      </c>
      <c r="P55" s="1" t="s">
        <v>20</v>
      </c>
      <c r="Q55" s="1" t="s">
        <v>20</v>
      </c>
    </row>
    <row r="56" spans="1:17" x14ac:dyDescent="0.3">
      <c r="A56" s="1" t="s">
        <v>103</v>
      </c>
      <c r="B56" s="2" t="s">
        <v>18</v>
      </c>
      <c r="C56" s="2" t="str">
        <f>HYPERLINK("https://team-xujm.testit.software/projects/1/tests/214", "API Получить данные о фильме по ID")</f>
        <v>API Получить данные о фильме по ID</v>
      </c>
      <c r="D56" s="1" t="s">
        <v>19</v>
      </c>
      <c r="E56" s="1" t="s">
        <v>20</v>
      </c>
      <c r="F56" s="1" t="s">
        <v>20</v>
      </c>
      <c r="G56" s="1" t="s">
        <v>20</v>
      </c>
      <c r="H56" s="1" t="s">
        <v>20</v>
      </c>
      <c r="I56" s="1" t="s">
        <v>20</v>
      </c>
      <c r="J56" s="1" t="s">
        <v>20</v>
      </c>
      <c r="K56" s="1" t="s">
        <v>20</v>
      </c>
      <c r="L56" s="1" t="s">
        <v>39</v>
      </c>
      <c r="M56" s="1" t="s">
        <v>120</v>
      </c>
      <c r="N56" s="1" t="s">
        <v>104</v>
      </c>
      <c r="O56" s="1" t="s">
        <v>23</v>
      </c>
      <c r="P56" s="1" t="s">
        <v>24</v>
      </c>
      <c r="Q56" s="1" t="s">
        <v>41</v>
      </c>
    </row>
    <row r="57" spans="1:17" x14ac:dyDescent="0.3">
      <c r="A57" s="1" t="s">
        <v>20</v>
      </c>
      <c r="B57" s="2" t="s">
        <v>20</v>
      </c>
      <c r="C57" s="2" t="s">
        <v>20</v>
      </c>
      <c r="D57" s="1" t="s">
        <v>20</v>
      </c>
      <c r="E57" s="1" t="s">
        <v>100</v>
      </c>
      <c r="F57" s="1" t="s">
        <v>20</v>
      </c>
      <c r="G57" s="1" t="s">
        <v>20</v>
      </c>
      <c r="H57" s="1" t="s">
        <v>20</v>
      </c>
      <c r="I57" s="1" t="s">
        <v>20</v>
      </c>
      <c r="J57" s="1" t="s">
        <v>20</v>
      </c>
      <c r="K57" s="1" t="s">
        <v>20</v>
      </c>
      <c r="L57" s="1" t="s">
        <v>20</v>
      </c>
      <c r="M57" s="1" t="s">
        <v>20</v>
      </c>
      <c r="N57" s="1" t="s">
        <v>20</v>
      </c>
      <c r="O57" s="1" t="s">
        <v>20</v>
      </c>
      <c r="P57" s="1" t="s">
        <v>20</v>
      </c>
      <c r="Q57" s="1" t="s">
        <v>20</v>
      </c>
    </row>
    <row r="58" spans="1:17" ht="28.8" x14ac:dyDescent="0.3">
      <c r="A58" s="1" t="s">
        <v>20</v>
      </c>
      <c r="B58" s="2" t="s">
        <v>20</v>
      </c>
      <c r="C58" s="2" t="s">
        <v>20</v>
      </c>
      <c r="D58" s="1" t="s">
        <v>20</v>
      </c>
      <c r="E58" s="1" t="s">
        <v>20</v>
      </c>
      <c r="F58" s="1" t="s">
        <v>105</v>
      </c>
      <c r="G58" s="1" t="s">
        <v>20</v>
      </c>
      <c r="H58" s="2" t="s">
        <v>106</v>
      </c>
      <c r="I58" s="1" t="s">
        <v>20</v>
      </c>
      <c r="J58" s="1" t="s">
        <v>20</v>
      </c>
      <c r="K58" s="1" t="s">
        <v>20</v>
      </c>
      <c r="L58" s="1" t="s">
        <v>20</v>
      </c>
      <c r="M58" s="1" t="s">
        <v>20</v>
      </c>
      <c r="N58" s="1" t="s">
        <v>20</v>
      </c>
      <c r="O58" s="1" t="s">
        <v>20</v>
      </c>
      <c r="P58" s="1" t="s">
        <v>20</v>
      </c>
      <c r="Q58" s="1" t="s">
        <v>20</v>
      </c>
    </row>
    <row r="59" spans="1:17" x14ac:dyDescent="0.3">
      <c r="A59" s="1" t="s">
        <v>107</v>
      </c>
      <c r="B59" s="2" t="s">
        <v>18</v>
      </c>
      <c r="C59" s="2" t="str">
        <f>HYPERLINK("https://team-xujm.testit.software/projects/1/tests/207", "API получение списка фильмов по различным фильтрам")</f>
        <v>API получение списка фильмов по различным фильтрам</v>
      </c>
      <c r="D59" s="1" t="s">
        <v>19</v>
      </c>
      <c r="E59" s="1" t="s">
        <v>20</v>
      </c>
      <c r="F59" s="1" t="s">
        <v>20</v>
      </c>
      <c r="G59" s="1" t="s">
        <v>20</v>
      </c>
      <c r="H59" s="1" t="s">
        <v>20</v>
      </c>
      <c r="I59" s="1" t="s">
        <v>20</v>
      </c>
      <c r="J59" s="1" t="s">
        <v>20</v>
      </c>
      <c r="K59" s="1" t="s">
        <v>20</v>
      </c>
      <c r="L59" s="1" t="s">
        <v>21</v>
      </c>
      <c r="M59" s="1" t="s">
        <v>120</v>
      </c>
      <c r="N59" s="1" t="s">
        <v>108</v>
      </c>
      <c r="O59" s="1" t="s">
        <v>23</v>
      </c>
      <c r="P59" s="1" t="s">
        <v>24</v>
      </c>
      <c r="Q59" s="1" t="s">
        <v>41</v>
      </c>
    </row>
    <row r="60" spans="1:17" x14ac:dyDescent="0.3">
      <c r="A60" s="1" t="s">
        <v>20</v>
      </c>
      <c r="B60" s="2" t="s">
        <v>20</v>
      </c>
      <c r="C60" s="2" t="s">
        <v>20</v>
      </c>
      <c r="D60" s="1" t="s">
        <v>20</v>
      </c>
      <c r="E60" s="1" t="s">
        <v>100</v>
      </c>
      <c r="F60" s="1" t="s">
        <v>20</v>
      </c>
      <c r="G60" s="1" t="s">
        <v>20</v>
      </c>
      <c r="H60" s="1" t="s">
        <v>20</v>
      </c>
      <c r="I60" s="1" t="s">
        <v>20</v>
      </c>
      <c r="J60" s="1" t="s">
        <v>20</v>
      </c>
      <c r="K60" s="1" t="s">
        <v>20</v>
      </c>
      <c r="L60" s="1" t="s">
        <v>20</v>
      </c>
      <c r="M60" s="1" t="s">
        <v>20</v>
      </c>
      <c r="N60" s="1" t="s">
        <v>20</v>
      </c>
      <c r="O60" s="1" t="s">
        <v>20</v>
      </c>
      <c r="P60" s="1" t="s">
        <v>20</v>
      </c>
      <c r="Q60" s="1" t="s">
        <v>20</v>
      </c>
    </row>
    <row r="61" spans="1:17" ht="100.8" x14ac:dyDescent="0.3">
      <c r="A61" s="1" t="s">
        <v>20</v>
      </c>
      <c r="B61" s="2" t="s">
        <v>20</v>
      </c>
      <c r="C61" s="2" t="s">
        <v>20</v>
      </c>
      <c r="D61" s="1" t="s">
        <v>20</v>
      </c>
      <c r="E61" s="1" t="s">
        <v>20</v>
      </c>
      <c r="F61" s="2" t="s">
        <v>109</v>
      </c>
      <c r="G61" s="1" t="s">
        <v>20</v>
      </c>
      <c r="H61" s="2" t="s">
        <v>110</v>
      </c>
      <c r="I61" s="1" t="s">
        <v>20</v>
      </c>
      <c r="J61" s="1" t="s">
        <v>20</v>
      </c>
      <c r="K61" s="1" t="s">
        <v>20</v>
      </c>
      <c r="L61" s="1" t="s">
        <v>20</v>
      </c>
      <c r="M61" s="1" t="s">
        <v>20</v>
      </c>
      <c r="N61" s="1" t="s">
        <v>20</v>
      </c>
      <c r="O61" s="1" t="s">
        <v>20</v>
      </c>
      <c r="P61" s="1" t="s">
        <v>20</v>
      </c>
      <c r="Q61" s="1" t="s">
        <v>20</v>
      </c>
    </row>
    <row r="62" spans="1:17" x14ac:dyDescent="0.3">
      <c r="A62" s="1" t="s">
        <v>20</v>
      </c>
      <c r="B62" s="2" t="s">
        <v>20</v>
      </c>
      <c r="C62" s="2" t="s">
        <v>20</v>
      </c>
      <c r="D62" s="1" t="s">
        <v>20</v>
      </c>
      <c r="E62" s="1" t="s">
        <v>20</v>
      </c>
      <c r="F62" s="1" t="s">
        <v>20</v>
      </c>
      <c r="G62" s="1" t="s">
        <v>20</v>
      </c>
      <c r="H62" s="1" t="s">
        <v>20</v>
      </c>
      <c r="I62" s="1" t="s">
        <v>20</v>
      </c>
      <c r="J62" s="1" t="s">
        <v>20</v>
      </c>
      <c r="K62" s="1" t="s">
        <v>20</v>
      </c>
      <c r="L62" s="1" t="s">
        <v>20</v>
      </c>
      <c r="M62" s="1" t="s">
        <v>20</v>
      </c>
      <c r="N62" s="1" t="s">
        <v>20</v>
      </c>
      <c r="O62" s="1" t="s">
        <v>20</v>
      </c>
      <c r="P62" s="1" t="s">
        <v>20</v>
      </c>
      <c r="Q62" s="1" t="s">
        <v>20</v>
      </c>
    </row>
    <row r="63" spans="1:17" x14ac:dyDescent="0.3">
      <c r="A63" s="1" t="s">
        <v>111</v>
      </c>
      <c r="B63" s="2" t="s">
        <v>18</v>
      </c>
      <c r="C63" s="2" t="str">
        <f>HYPERLINK("https://team-xujm.testit.software/projects/1/tests/208", "API получение данных о бюджете и сборах фильма")</f>
        <v>API получение данных о бюджете и сборах фильма</v>
      </c>
      <c r="D63" s="1" t="s">
        <v>19</v>
      </c>
      <c r="E63" s="1" t="s">
        <v>20</v>
      </c>
      <c r="F63" s="1" t="s">
        <v>20</v>
      </c>
      <c r="G63" s="1" t="s">
        <v>20</v>
      </c>
      <c r="H63" s="1" t="s">
        <v>20</v>
      </c>
      <c r="I63" s="1" t="s">
        <v>20</v>
      </c>
      <c r="J63" s="1" t="s">
        <v>20</v>
      </c>
      <c r="K63" s="1" t="s">
        <v>20</v>
      </c>
      <c r="L63" s="1" t="s">
        <v>21</v>
      </c>
      <c r="M63" s="1" t="s">
        <v>120</v>
      </c>
      <c r="N63" s="1" t="s">
        <v>112</v>
      </c>
      <c r="O63" s="1" t="s">
        <v>23</v>
      </c>
      <c r="P63" s="1" t="s">
        <v>24</v>
      </c>
      <c r="Q63" s="1" t="s">
        <v>41</v>
      </c>
    </row>
    <row r="64" spans="1:17" x14ac:dyDescent="0.3">
      <c r="A64" s="1" t="s">
        <v>20</v>
      </c>
      <c r="B64" s="2" t="s">
        <v>20</v>
      </c>
      <c r="C64" s="2" t="s">
        <v>20</v>
      </c>
      <c r="D64" s="1" t="s">
        <v>20</v>
      </c>
      <c r="E64" s="1" t="s">
        <v>100</v>
      </c>
      <c r="F64" s="1" t="s">
        <v>20</v>
      </c>
      <c r="G64" s="1" t="s">
        <v>20</v>
      </c>
      <c r="H64" s="1" t="s">
        <v>20</v>
      </c>
      <c r="I64" s="1" t="s">
        <v>20</v>
      </c>
      <c r="J64" s="1" t="s">
        <v>20</v>
      </c>
      <c r="K64" s="1" t="s">
        <v>20</v>
      </c>
      <c r="L64" s="1" t="s">
        <v>20</v>
      </c>
      <c r="M64" s="1" t="s">
        <v>20</v>
      </c>
      <c r="N64" s="1" t="s">
        <v>20</v>
      </c>
      <c r="O64" s="1" t="s">
        <v>20</v>
      </c>
      <c r="P64" s="1" t="s">
        <v>20</v>
      </c>
      <c r="Q64" s="1" t="s">
        <v>20</v>
      </c>
    </row>
    <row r="65" spans="1:17" ht="388.8" x14ac:dyDescent="0.3">
      <c r="A65" s="1" t="s">
        <v>20</v>
      </c>
      <c r="B65" s="2" t="s">
        <v>20</v>
      </c>
      <c r="C65" s="2" t="s">
        <v>20</v>
      </c>
      <c r="D65" s="1" t="s">
        <v>20</v>
      </c>
      <c r="E65" s="1" t="s">
        <v>20</v>
      </c>
      <c r="F65" s="1" t="s">
        <v>113</v>
      </c>
      <c r="G65" s="1" t="s">
        <v>20</v>
      </c>
      <c r="H65" s="2" t="s">
        <v>114</v>
      </c>
      <c r="I65" s="1" t="s">
        <v>20</v>
      </c>
      <c r="J65" s="1" t="s">
        <v>20</v>
      </c>
      <c r="K65" s="1" t="s">
        <v>20</v>
      </c>
      <c r="L65" s="1" t="s">
        <v>20</v>
      </c>
      <c r="M65" s="1" t="s">
        <v>20</v>
      </c>
      <c r="N65" s="1" t="s">
        <v>20</v>
      </c>
      <c r="O65" s="1" t="s">
        <v>20</v>
      </c>
      <c r="P65" s="1" t="s">
        <v>20</v>
      </c>
      <c r="Q65" s="1" t="s">
        <v>20</v>
      </c>
    </row>
    <row r="66" spans="1:17" x14ac:dyDescent="0.3">
      <c r="A66" s="1" t="s">
        <v>20</v>
      </c>
      <c r="B66" s="2" t="s">
        <v>20</v>
      </c>
      <c r="C66" s="2" t="s">
        <v>20</v>
      </c>
      <c r="D66" s="1" t="s">
        <v>20</v>
      </c>
      <c r="E66" s="1" t="s">
        <v>20</v>
      </c>
      <c r="F66" s="1" t="s">
        <v>20</v>
      </c>
      <c r="G66" s="1" t="s">
        <v>20</v>
      </c>
      <c r="H66" s="1" t="s">
        <v>20</v>
      </c>
      <c r="I66" s="1" t="s">
        <v>20</v>
      </c>
      <c r="J66" s="1" t="s">
        <v>20</v>
      </c>
      <c r="K66" s="1" t="s">
        <v>20</v>
      </c>
      <c r="L66" s="1" t="s">
        <v>20</v>
      </c>
      <c r="M66" s="1" t="s">
        <v>20</v>
      </c>
      <c r="N66" s="1" t="s">
        <v>20</v>
      </c>
      <c r="O66" s="1" t="s">
        <v>20</v>
      </c>
      <c r="P66" s="1" t="s">
        <v>20</v>
      </c>
      <c r="Q66" s="1" t="s">
        <v>20</v>
      </c>
    </row>
    <row r="67" spans="1:17" x14ac:dyDescent="0.3">
      <c r="A67" s="1" t="s">
        <v>115</v>
      </c>
      <c r="B67" s="2" t="s">
        <v>18</v>
      </c>
      <c r="C67" s="2" t="str">
        <f>HYPERLINK("https://team-xujm.testit.software/projects/1/tests/209", "API Получить данные о наградах и премиях фильма.")</f>
        <v>API Получить данные о наградах и премиях фильма.</v>
      </c>
      <c r="D67" s="1" t="s">
        <v>19</v>
      </c>
      <c r="E67" s="1" t="s">
        <v>20</v>
      </c>
      <c r="F67" s="1" t="s">
        <v>20</v>
      </c>
      <c r="G67" s="1" t="s">
        <v>20</v>
      </c>
      <c r="H67" s="1" t="s">
        <v>20</v>
      </c>
      <c r="I67" s="1" t="s">
        <v>20</v>
      </c>
      <c r="J67" s="1" t="s">
        <v>20</v>
      </c>
      <c r="K67" s="1" t="s">
        <v>20</v>
      </c>
      <c r="L67" s="1" t="s">
        <v>21</v>
      </c>
      <c r="M67" s="1" t="s">
        <v>120</v>
      </c>
      <c r="N67" s="1" t="s">
        <v>116</v>
      </c>
      <c r="O67" s="1" t="s">
        <v>23</v>
      </c>
      <c r="P67" s="1" t="s">
        <v>24</v>
      </c>
      <c r="Q67" s="1" t="s">
        <v>41</v>
      </c>
    </row>
    <row r="68" spans="1:17" x14ac:dyDescent="0.3">
      <c r="A68" s="1" t="s">
        <v>20</v>
      </c>
      <c r="B68" s="2" t="s">
        <v>20</v>
      </c>
      <c r="C68" s="2" t="s">
        <v>20</v>
      </c>
      <c r="D68" s="1" t="s">
        <v>20</v>
      </c>
      <c r="E68" s="1" t="s">
        <v>100</v>
      </c>
      <c r="F68" s="1" t="s">
        <v>20</v>
      </c>
      <c r="G68" s="1" t="s">
        <v>20</v>
      </c>
      <c r="H68" s="1" t="s">
        <v>20</v>
      </c>
      <c r="I68" s="1" t="s">
        <v>20</v>
      </c>
      <c r="J68" s="1" t="s">
        <v>20</v>
      </c>
      <c r="K68" s="1" t="s">
        <v>20</v>
      </c>
      <c r="L68" s="1" t="s">
        <v>20</v>
      </c>
      <c r="M68" s="1" t="s">
        <v>20</v>
      </c>
      <c r="N68" s="1" t="s">
        <v>20</v>
      </c>
      <c r="O68" s="1" t="s">
        <v>20</v>
      </c>
      <c r="P68" s="1" t="s">
        <v>20</v>
      </c>
      <c r="Q68" s="1" t="s">
        <v>20</v>
      </c>
    </row>
    <row r="69" spans="1:17" ht="72" x14ac:dyDescent="0.3">
      <c r="A69" s="1" t="s">
        <v>20</v>
      </c>
      <c r="B69" s="2" t="s">
        <v>20</v>
      </c>
      <c r="C69" s="2" t="s">
        <v>20</v>
      </c>
      <c r="D69" s="1" t="s">
        <v>20</v>
      </c>
      <c r="E69" s="1" t="s">
        <v>20</v>
      </c>
      <c r="F69" s="1" t="s">
        <v>117</v>
      </c>
      <c r="G69" s="1" t="s">
        <v>20</v>
      </c>
      <c r="H69" s="2" t="s">
        <v>118</v>
      </c>
      <c r="I69" s="1" t="s">
        <v>20</v>
      </c>
      <c r="J69" s="1" t="s">
        <v>20</v>
      </c>
      <c r="K69" s="1" t="s">
        <v>20</v>
      </c>
      <c r="L69" s="1" t="s">
        <v>20</v>
      </c>
      <c r="M69" s="1" t="s">
        <v>20</v>
      </c>
      <c r="N69" s="1" t="s">
        <v>20</v>
      </c>
      <c r="O69" s="1" t="s">
        <v>20</v>
      </c>
      <c r="P69" s="1" t="s">
        <v>20</v>
      </c>
      <c r="Q69" s="1" t="s">
        <v>20</v>
      </c>
    </row>
    <row r="70" spans="1:17" x14ac:dyDescent="0.3">
      <c r="A70" s="1" t="s">
        <v>119</v>
      </c>
      <c r="B70" s="2" t="s">
        <v>18</v>
      </c>
      <c r="C70" s="2" t="str">
        <f>HYPERLINK("https://team-xujm.testit.software/projects/1/tests/210", "API Получение списка фильмов с пагинацией. ")</f>
        <v xml:space="preserve">API Получение списка фильмов с пагинацией. </v>
      </c>
      <c r="D70" s="1" t="s">
        <v>19</v>
      </c>
      <c r="E70" s="1" t="s">
        <v>20</v>
      </c>
      <c r="F70" s="1" t="s">
        <v>20</v>
      </c>
      <c r="G70" s="1" t="s">
        <v>20</v>
      </c>
      <c r="H70" s="1" t="s">
        <v>20</v>
      </c>
      <c r="I70" s="1" t="s">
        <v>20</v>
      </c>
      <c r="J70" s="1" t="s">
        <v>20</v>
      </c>
      <c r="K70" s="1" t="s">
        <v>20</v>
      </c>
      <c r="L70" s="1" t="s">
        <v>21</v>
      </c>
      <c r="M70" s="1" t="s">
        <v>120</v>
      </c>
      <c r="N70" s="1" t="s">
        <v>121</v>
      </c>
      <c r="O70" s="1" t="s">
        <v>23</v>
      </c>
      <c r="P70" s="1" t="s">
        <v>24</v>
      </c>
      <c r="Q70" s="1" t="s">
        <v>41</v>
      </c>
    </row>
    <row r="71" spans="1:17" x14ac:dyDescent="0.3">
      <c r="A71" s="1" t="s">
        <v>20</v>
      </c>
      <c r="B71" s="2" t="s">
        <v>20</v>
      </c>
      <c r="C71" s="2" t="s">
        <v>20</v>
      </c>
      <c r="D71" s="1" t="s">
        <v>20</v>
      </c>
      <c r="E71" s="1" t="s">
        <v>100</v>
      </c>
      <c r="F71" s="1" t="s">
        <v>20</v>
      </c>
      <c r="G71" s="1" t="s">
        <v>20</v>
      </c>
      <c r="H71" s="1" t="s">
        <v>20</v>
      </c>
      <c r="I71" s="1" t="s">
        <v>20</v>
      </c>
      <c r="J71" s="1" t="s">
        <v>20</v>
      </c>
      <c r="K71" s="1" t="s">
        <v>20</v>
      </c>
      <c r="L71" s="1" t="s">
        <v>20</v>
      </c>
      <c r="M71" s="1" t="s">
        <v>20</v>
      </c>
      <c r="N71" s="1" t="s">
        <v>20</v>
      </c>
      <c r="O71" s="1" t="s">
        <v>20</v>
      </c>
      <c r="P71" s="1" t="s">
        <v>20</v>
      </c>
      <c r="Q71" s="1" t="s">
        <v>20</v>
      </c>
    </row>
    <row r="72" spans="1:17" ht="230.4" x14ac:dyDescent="0.3">
      <c r="A72" s="1" t="s">
        <v>20</v>
      </c>
      <c r="B72" s="2" t="s">
        <v>20</v>
      </c>
      <c r="C72" s="2" t="s">
        <v>20</v>
      </c>
      <c r="D72" s="1" t="s">
        <v>20</v>
      </c>
      <c r="E72" s="1" t="s">
        <v>20</v>
      </c>
      <c r="F72" s="1" t="s">
        <v>122</v>
      </c>
      <c r="G72" s="1" t="s">
        <v>20</v>
      </c>
      <c r="H72" s="2" t="s">
        <v>123</v>
      </c>
      <c r="I72" s="1" t="s">
        <v>20</v>
      </c>
      <c r="J72" s="1" t="s">
        <v>20</v>
      </c>
      <c r="K72" s="1" t="s">
        <v>20</v>
      </c>
      <c r="L72" s="1" t="s">
        <v>20</v>
      </c>
      <c r="M72" s="1" t="s">
        <v>20</v>
      </c>
      <c r="N72" s="1" t="s">
        <v>20</v>
      </c>
      <c r="O72" s="1" t="s">
        <v>20</v>
      </c>
      <c r="P72" s="1" t="s">
        <v>20</v>
      </c>
      <c r="Q72" s="1" t="s">
        <v>20</v>
      </c>
    </row>
    <row r="73" spans="1:17" x14ac:dyDescent="0.3">
      <c r="A73" s="1" t="s">
        <v>124</v>
      </c>
      <c r="B73" s="2" t="s">
        <v>18</v>
      </c>
      <c r="C73" s="2" t="str">
        <f>HYPERLINK("https://team-xujm.testit.software/projects/1/tests/211", "API-negativ Получение списка фильмов с пагинацией.")</f>
        <v>API-negativ Получение списка фильмов с пагинацией.</v>
      </c>
      <c r="D73" s="1" t="s">
        <v>19</v>
      </c>
      <c r="E73" s="1" t="s">
        <v>20</v>
      </c>
      <c r="F73" s="1" t="s">
        <v>20</v>
      </c>
      <c r="G73" s="1" t="s">
        <v>20</v>
      </c>
      <c r="H73" s="1" t="s">
        <v>20</v>
      </c>
      <c r="I73" s="1" t="s">
        <v>20</v>
      </c>
      <c r="J73" s="1" t="s">
        <v>20</v>
      </c>
      <c r="K73" s="1" t="s">
        <v>20</v>
      </c>
      <c r="L73" s="1" t="s">
        <v>21</v>
      </c>
      <c r="M73" s="1" t="s">
        <v>120</v>
      </c>
      <c r="N73" s="1" t="s">
        <v>125</v>
      </c>
      <c r="O73" s="1" t="s">
        <v>23</v>
      </c>
      <c r="P73" s="1" t="s">
        <v>24</v>
      </c>
      <c r="Q73" s="1" t="s">
        <v>41</v>
      </c>
    </row>
    <row r="74" spans="1:17" x14ac:dyDescent="0.3">
      <c r="A74" s="1" t="s">
        <v>20</v>
      </c>
      <c r="B74" s="2" t="s">
        <v>20</v>
      </c>
      <c r="C74" s="2" t="s">
        <v>20</v>
      </c>
      <c r="D74" s="1" t="s">
        <v>20</v>
      </c>
      <c r="E74" s="1" t="s">
        <v>100</v>
      </c>
      <c r="F74" s="1" t="s">
        <v>20</v>
      </c>
      <c r="G74" s="1" t="s">
        <v>20</v>
      </c>
      <c r="H74" s="1" t="s">
        <v>126</v>
      </c>
      <c r="I74" s="1" t="s">
        <v>20</v>
      </c>
      <c r="J74" s="1" t="s">
        <v>20</v>
      </c>
      <c r="K74" s="1" t="s">
        <v>20</v>
      </c>
      <c r="L74" s="1" t="s">
        <v>20</v>
      </c>
      <c r="M74" s="1" t="s">
        <v>20</v>
      </c>
      <c r="N74" s="1" t="s">
        <v>20</v>
      </c>
      <c r="O74" s="1" t="s">
        <v>20</v>
      </c>
      <c r="P74" s="1" t="s">
        <v>20</v>
      </c>
      <c r="Q74" s="1" t="s">
        <v>20</v>
      </c>
    </row>
    <row r="75" spans="1:17" ht="43.2" x14ac:dyDescent="0.3">
      <c r="A75" s="1" t="s">
        <v>20</v>
      </c>
      <c r="B75" s="2" t="s">
        <v>20</v>
      </c>
      <c r="C75" s="2" t="s">
        <v>20</v>
      </c>
      <c r="D75" s="1" t="s">
        <v>20</v>
      </c>
      <c r="E75" s="1" t="s">
        <v>20</v>
      </c>
      <c r="F75" s="2" t="s">
        <v>127</v>
      </c>
      <c r="G75" s="1" t="s">
        <v>20</v>
      </c>
      <c r="H75" s="1" t="s">
        <v>128</v>
      </c>
      <c r="I75" s="1" t="s">
        <v>20</v>
      </c>
      <c r="J75" s="1" t="s">
        <v>20</v>
      </c>
      <c r="K75" s="1" t="s">
        <v>20</v>
      </c>
      <c r="L75" s="1" t="s">
        <v>20</v>
      </c>
      <c r="M75" s="1" t="s">
        <v>20</v>
      </c>
      <c r="N75" s="1" t="s">
        <v>20</v>
      </c>
      <c r="O75" s="1" t="s">
        <v>20</v>
      </c>
      <c r="P75" s="1" t="s">
        <v>20</v>
      </c>
      <c r="Q75" s="1" t="s">
        <v>20</v>
      </c>
    </row>
    <row r="76" spans="1:17" x14ac:dyDescent="0.3">
      <c r="A76" s="1" t="s">
        <v>129</v>
      </c>
      <c r="B76" s="2" t="s">
        <v>18</v>
      </c>
      <c r="C76" s="2" t="str">
        <f>HYPERLINK("https://team-xujm.testit.software/projects/1/tests/212", "API negativ Получение названия фильма по ID")</f>
        <v>API negativ Получение названия фильма по ID</v>
      </c>
      <c r="D76" s="1" t="s">
        <v>19</v>
      </c>
      <c r="E76" s="1" t="s">
        <v>20</v>
      </c>
      <c r="F76" s="1" t="s">
        <v>20</v>
      </c>
      <c r="G76" s="1" t="s">
        <v>20</v>
      </c>
      <c r="H76" s="1" t="s">
        <v>20</v>
      </c>
      <c r="I76" s="1" t="s">
        <v>20</v>
      </c>
      <c r="J76" s="1" t="s">
        <v>20</v>
      </c>
      <c r="K76" s="1" t="s">
        <v>20</v>
      </c>
      <c r="L76" s="1" t="s">
        <v>68</v>
      </c>
      <c r="M76" s="1" t="s">
        <v>120</v>
      </c>
      <c r="N76" s="1" t="s">
        <v>130</v>
      </c>
      <c r="O76" s="1" t="s">
        <v>23</v>
      </c>
      <c r="P76" s="1" t="s">
        <v>24</v>
      </c>
      <c r="Q76" s="1" t="s">
        <v>41</v>
      </c>
    </row>
    <row r="77" spans="1:17" x14ac:dyDescent="0.3">
      <c r="A77" s="1" t="s">
        <v>20</v>
      </c>
      <c r="B77" s="2" t="s">
        <v>20</v>
      </c>
      <c r="C77" s="2" t="s">
        <v>20</v>
      </c>
      <c r="D77" s="1" t="s">
        <v>20</v>
      </c>
      <c r="E77" s="1" t="s">
        <v>100</v>
      </c>
      <c r="F77" s="1" t="s">
        <v>20</v>
      </c>
      <c r="G77" s="1" t="s">
        <v>20</v>
      </c>
      <c r="H77" s="1" t="s">
        <v>20</v>
      </c>
      <c r="I77" s="1" t="s">
        <v>20</v>
      </c>
      <c r="J77" s="1" t="s">
        <v>20</v>
      </c>
      <c r="K77" s="1" t="s">
        <v>20</v>
      </c>
      <c r="L77" s="1" t="s">
        <v>20</v>
      </c>
      <c r="M77" s="1" t="s">
        <v>20</v>
      </c>
      <c r="N77" s="1" t="s">
        <v>20</v>
      </c>
      <c r="O77" s="1" t="s">
        <v>20</v>
      </c>
      <c r="P77" s="1" t="s">
        <v>20</v>
      </c>
      <c r="Q77" s="1" t="s">
        <v>20</v>
      </c>
    </row>
    <row r="78" spans="1:17" x14ac:dyDescent="0.3">
      <c r="A78" s="1" t="s">
        <v>20</v>
      </c>
      <c r="B78" s="2" t="s">
        <v>20</v>
      </c>
      <c r="C78" s="2" t="s">
        <v>20</v>
      </c>
      <c r="D78" s="1" t="s">
        <v>20</v>
      </c>
      <c r="E78" s="1" t="s">
        <v>20</v>
      </c>
      <c r="F78" s="1" t="s">
        <v>131</v>
      </c>
      <c r="G78" s="1" t="s">
        <v>20</v>
      </c>
      <c r="H78" s="1" t="s">
        <v>132</v>
      </c>
      <c r="I78" s="1" t="s">
        <v>20</v>
      </c>
      <c r="J78" s="1" t="s">
        <v>20</v>
      </c>
      <c r="K78" s="1" t="s">
        <v>20</v>
      </c>
      <c r="L78" s="1" t="s">
        <v>20</v>
      </c>
      <c r="M78" s="1" t="s">
        <v>20</v>
      </c>
      <c r="N78" s="1" t="s">
        <v>20</v>
      </c>
      <c r="O78" s="1" t="s">
        <v>20</v>
      </c>
      <c r="P78" s="1" t="s">
        <v>20</v>
      </c>
      <c r="Q78" s="1" t="s">
        <v>20</v>
      </c>
    </row>
    <row r="79" spans="1:17" x14ac:dyDescent="0.3">
      <c r="A79" s="1" t="s">
        <v>133</v>
      </c>
      <c r="B79" s="2" t="s">
        <v>18</v>
      </c>
      <c r="C79" s="2" t="str">
        <f>HYPERLINK("https://team-xujm.testit.software/projects/1/tests/218", "Проверка технологии DeepDive")</f>
        <v>Проверка технологии DeepDive</v>
      </c>
      <c r="D79" s="1" t="s">
        <v>19</v>
      </c>
      <c r="E79" s="1" t="s">
        <v>20</v>
      </c>
      <c r="F79" s="1" t="s">
        <v>20</v>
      </c>
      <c r="G79" s="1" t="s">
        <v>20</v>
      </c>
      <c r="H79" s="1" t="s">
        <v>20</v>
      </c>
      <c r="I79" s="1" t="s">
        <v>20</v>
      </c>
      <c r="J79" s="1" t="s">
        <v>20</v>
      </c>
      <c r="K79" s="1" t="s">
        <v>20</v>
      </c>
      <c r="L79" s="1" t="s">
        <v>21</v>
      </c>
      <c r="M79" s="1" t="s">
        <v>120</v>
      </c>
      <c r="N79" s="1" t="s">
        <v>134</v>
      </c>
      <c r="O79" s="1" t="s">
        <v>23</v>
      </c>
      <c r="P79" s="1" t="s">
        <v>24</v>
      </c>
      <c r="Q79" s="1" t="s">
        <v>41</v>
      </c>
    </row>
    <row r="80" spans="1:17" x14ac:dyDescent="0.3">
      <c r="A80" s="1" t="s">
        <v>20</v>
      </c>
      <c r="B80" s="2" t="s">
        <v>20</v>
      </c>
      <c r="C80" s="2" t="s">
        <v>20</v>
      </c>
      <c r="D80" s="1" t="s">
        <v>20</v>
      </c>
      <c r="E80" s="1" t="s">
        <v>48</v>
      </c>
      <c r="F80" s="1" t="s">
        <v>20</v>
      </c>
      <c r="G80" s="1" t="s">
        <v>20</v>
      </c>
      <c r="H80" s="1" t="s">
        <v>79</v>
      </c>
      <c r="I80" s="1" t="s">
        <v>20</v>
      </c>
      <c r="J80" s="1" t="s">
        <v>20</v>
      </c>
      <c r="K80" s="1" t="s">
        <v>20</v>
      </c>
      <c r="L80" s="1" t="s">
        <v>20</v>
      </c>
      <c r="M80" s="1" t="s">
        <v>20</v>
      </c>
      <c r="N80" s="1" t="s">
        <v>20</v>
      </c>
      <c r="O80" s="1" t="s">
        <v>20</v>
      </c>
      <c r="P80" s="1" t="s">
        <v>20</v>
      </c>
      <c r="Q80" s="1" t="s">
        <v>20</v>
      </c>
    </row>
    <row r="81" spans="1:17" x14ac:dyDescent="0.3">
      <c r="A81" s="1" t="s">
        <v>20</v>
      </c>
      <c r="B81" s="2" t="s">
        <v>20</v>
      </c>
      <c r="C81" s="2" t="s">
        <v>20</v>
      </c>
      <c r="D81" s="1" t="s">
        <v>20</v>
      </c>
      <c r="E81" s="1" t="s">
        <v>20</v>
      </c>
      <c r="F81" s="1" t="s">
        <v>135</v>
      </c>
      <c r="G81" s="1" t="s">
        <v>20</v>
      </c>
      <c r="H81" s="1" t="s">
        <v>136</v>
      </c>
      <c r="I81" s="1" t="s">
        <v>20</v>
      </c>
      <c r="J81" s="1" t="s">
        <v>20</v>
      </c>
      <c r="K81" s="1" t="s">
        <v>20</v>
      </c>
      <c r="L81" s="1" t="s">
        <v>20</v>
      </c>
      <c r="M81" s="1" t="s">
        <v>20</v>
      </c>
      <c r="N81" s="1" t="s">
        <v>20</v>
      </c>
      <c r="O81" s="1" t="s">
        <v>20</v>
      </c>
      <c r="P81" s="1" t="s">
        <v>20</v>
      </c>
      <c r="Q81" s="1" t="s">
        <v>20</v>
      </c>
    </row>
    <row r="82" spans="1:17" x14ac:dyDescent="0.3">
      <c r="A82" s="1" t="s">
        <v>20</v>
      </c>
      <c r="B82" s="2" t="s">
        <v>20</v>
      </c>
      <c r="C82" s="2" t="s">
        <v>20</v>
      </c>
      <c r="D82" s="1" t="s">
        <v>20</v>
      </c>
      <c r="E82" s="1" t="s">
        <v>20</v>
      </c>
      <c r="F82" s="1" t="s">
        <v>137</v>
      </c>
      <c r="G82" s="1" t="s">
        <v>20</v>
      </c>
      <c r="H82" s="1" t="s">
        <v>138</v>
      </c>
      <c r="I82" s="1" t="s">
        <v>20</v>
      </c>
      <c r="J82" s="1" t="s">
        <v>20</v>
      </c>
      <c r="K82" s="1" t="s">
        <v>20</v>
      </c>
      <c r="L82" s="1" t="s">
        <v>20</v>
      </c>
      <c r="M82" s="1" t="s">
        <v>20</v>
      </c>
      <c r="N82" s="1" t="s">
        <v>20</v>
      </c>
      <c r="O82" s="1" t="s">
        <v>20</v>
      </c>
      <c r="P82" s="1" t="s">
        <v>20</v>
      </c>
      <c r="Q82" s="1" t="s">
        <v>20</v>
      </c>
    </row>
    <row r="83" spans="1:17" ht="57.6" x14ac:dyDescent="0.3">
      <c r="A83" s="1" t="s">
        <v>20</v>
      </c>
      <c r="B83" s="2" t="s">
        <v>20</v>
      </c>
      <c r="C83" s="2" t="s">
        <v>20</v>
      </c>
      <c r="D83" s="1" t="s">
        <v>20</v>
      </c>
      <c r="E83" s="1" t="s">
        <v>20</v>
      </c>
      <c r="F83" s="1" t="s">
        <v>139</v>
      </c>
      <c r="G83" s="1" t="s">
        <v>20</v>
      </c>
      <c r="H83" s="2" t="s">
        <v>140</v>
      </c>
      <c r="I83" s="1" t="s">
        <v>20</v>
      </c>
      <c r="J83" s="1" t="s">
        <v>20</v>
      </c>
      <c r="K83" s="1" t="s">
        <v>20</v>
      </c>
      <c r="L83" s="1" t="s">
        <v>20</v>
      </c>
      <c r="M83" s="1" t="s">
        <v>20</v>
      </c>
      <c r="N83" s="1" t="s">
        <v>20</v>
      </c>
      <c r="O83" s="1" t="s">
        <v>20</v>
      </c>
      <c r="P83" s="1" t="s">
        <v>20</v>
      </c>
      <c r="Q83" s="1" t="s">
        <v>20</v>
      </c>
    </row>
    <row r="84" spans="1:17" x14ac:dyDescent="0.3">
      <c r="A84" s="1" t="s">
        <v>20</v>
      </c>
      <c r="B84" s="2" t="s">
        <v>20</v>
      </c>
      <c r="C84" s="2" t="s">
        <v>20</v>
      </c>
      <c r="D84" s="1" t="s">
        <v>20</v>
      </c>
      <c r="E84" s="1" t="s">
        <v>20</v>
      </c>
      <c r="F84" s="1" t="s">
        <v>135</v>
      </c>
      <c r="G84" s="1" t="s">
        <v>20</v>
      </c>
      <c r="H84" s="1" t="s">
        <v>136</v>
      </c>
      <c r="I84" s="1" t="s">
        <v>20</v>
      </c>
      <c r="J84" s="1" t="s">
        <v>20</v>
      </c>
      <c r="K84" s="1" t="s">
        <v>20</v>
      </c>
      <c r="L84" s="1" t="s">
        <v>20</v>
      </c>
      <c r="M84" s="1" t="s">
        <v>20</v>
      </c>
      <c r="N84" s="1" t="s">
        <v>20</v>
      </c>
      <c r="O84" s="1" t="s">
        <v>20</v>
      </c>
      <c r="P84" s="1" t="s">
        <v>20</v>
      </c>
      <c r="Q84" s="1" t="s">
        <v>20</v>
      </c>
    </row>
    <row r="85" spans="1:17" x14ac:dyDescent="0.3">
      <c r="A85" s="1" t="s">
        <v>141</v>
      </c>
      <c r="B85" s="2" t="s">
        <v>18</v>
      </c>
      <c r="C85" s="2" t="str">
        <f>HYPERLINK("https://team-xujm.testit.software/projects/1/tests/219", "API Получить данные об актере по id")</f>
        <v>API Получить данные об актере по id</v>
      </c>
      <c r="D85" s="1" t="s">
        <v>19</v>
      </c>
      <c r="E85" s="1" t="s">
        <v>20</v>
      </c>
      <c r="F85" s="1" t="s">
        <v>20</v>
      </c>
      <c r="G85" s="1" t="s">
        <v>20</v>
      </c>
      <c r="H85" s="1" t="s">
        <v>20</v>
      </c>
      <c r="I85" s="1" t="s">
        <v>20</v>
      </c>
      <c r="J85" s="1" t="s">
        <v>20</v>
      </c>
      <c r="K85" s="1" t="s">
        <v>20</v>
      </c>
      <c r="L85" s="1" t="s">
        <v>21</v>
      </c>
      <c r="M85" s="1" t="s">
        <v>120</v>
      </c>
      <c r="N85" s="1" t="s">
        <v>142</v>
      </c>
      <c r="O85" s="1" t="s">
        <v>23</v>
      </c>
      <c r="P85" s="1" t="s">
        <v>24</v>
      </c>
      <c r="Q85" s="1" t="s">
        <v>20</v>
      </c>
    </row>
    <row r="86" spans="1:17" x14ac:dyDescent="0.3">
      <c r="A86" s="1" t="s">
        <v>20</v>
      </c>
      <c r="B86" s="2" t="s">
        <v>20</v>
      </c>
      <c r="C86" s="2" t="s">
        <v>20</v>
      </c>
      <c r="D86" s="1" t="s">
        <v>20</v>
      </c>
      <c r="E86" s="1" t="s">
        <v>100</v>
      </c>
      <c r="F86" s="1" t="s">
        <v>20</v>
      </c>
      <c r="G86" s="1" t="s">
        <v>20</v>
      </c>
      <c r="H86" s="1" t="s">
        <v>20</v>
      </c>
      <c r="I86" s="1" t="s">
        <v>20</v>
      </c>
      <c r="J86" s="1" t="s">
        <v>20</v>
      </c>
      <c r="K86" s="1" t="s">
        <v>20</v>
      </c>
      <c r="L86" s="1" t="s">
        <v>20</v>
      </c>
      <c r="M86" s="1" t="s">
        <v>20</v>
      </c>
      <c r="N86" s="1" t="s">
        <v>20</v>
      </c>
      <c r="O86" s="1" t="s">
        <v>20</v>
      </c>
      <c r="P86" s="1" t="s">
        <v>20</v>
      </c>
      <c r="Q86" s="1" t="s">
        <v>20</v>
      </c>
    </row>
    <row r="87" spans="1:17" ht="100.8" x14ac:dyDescent="0.3">
      <c r="A87" s="1" t="s">
        <v>20</v>
      </c>
      <c r="B87" s="2" t="s">
        <v>20</v>
      </c>
      <c r="C87" s="2" t="s">
        <v>20</v>
      </c>
      <c r="D87" s="1" t="s">
        <v>20</v>
      </c>
      <c r="E87" s="1" t="s">
        <v>20</v>
      </c>
      <c r="F87" s="2" t="s">
        <v>143</v>
      </c>
      <c r="G87" s="1" t="s">
        <v>20</v>
      </c>
      <c r="H87" s="2" t="s">
        <v>144</v>
      </c>
      <c r="I87" s="1" t="s">
        <v>20</v>
      </c>
      <c r="J87" s="1" t="s">
        <v>20</v>
      </c>
      <c r="K87" s="1" t="s">
        <v>20</v>
      </c>
      <c r="L87" s="1" t="s">
        <v>20</v>
      </c>
      <c r="M87" s="1" t="s">
        <v>20</v>
      </c>
      <c r="N87" s="1" t="s">
        <v>20</v>
      </c>
      <c r="O87" s="1" t="s">
        <v>20</v>
      </c>
      <c r="P87" s="1" t="s">
        <v>20</v>
      </c>
      <c r="Q87" s="1" t="s">
        <v>20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Project_Test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Инженер СЭ</dc:creator>
  <cp:lastModifiedBy>Инженер СЭ</cp:lastModifiedBy>
  <dcterms:created xsi:type="dcterms:W3CDTF">2026-10-01T04:57:51Z</dcterms:created>
  <dcterms:modified xsi:type="dcterms:W3CDTF">2026-10-01T05:01:34Z</dcterms:modified>
</cp:coreProperties>
</file>